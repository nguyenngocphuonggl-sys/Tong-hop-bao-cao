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KD_2026\BAO CAO\BC Thu tong hop\Ngan hang\"/>
    </mc:Choice>
  </mc:AlternateContent>
  <xr:revisionPtr revIDLastSave="0" documentId="13_ncr:1_{97311661-71A1-4409-BA6B-BACA50D47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I PHI NH-TCTG-DVHTKDD" sheetId="2" r:id="rId1"/>
    <sheet name="Chi tiet 3 DL " sheetId="3" r:id="rId2"/>
  </sheets>
  <externalReferences>
    <externalReference r:id="rId3"/>
  </externalReferences>
  <definedNames>
    <definedName name="_1_0DATA_DATA2_L">'[1]#REF'!#REF!</definedName>
    <definedName name="_Builtin155">#REF!</definedName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anscount">14</definedName>
    <definedName name="anh">{"'Sheet1'!$L$16"}</definedName>
    <definedName name="BTH">{"'Sheet1'!$L$16"}</definedName>
    <definedName name="Code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STD_Clear">[0]!DSTD_Clear</definedName>
    <definedName name="FCode">#REF!</definedName>
    <definedName name="HiddenRows">#REF!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>{"'Sheet1'!$L$16"}</definedName>
    <definedName name="limcount">2</definedName>
    <definedName name="OrderTable">#REF!</definedName>
    <definedName name="ProdForm">#REF!</definedName>
    <definedName name="Product">#REF!</definedName>
    <definedName name="RCArea">#REF!</definedName>
    <definedName name="sencount">13</definedName>
    <definedName name="SpecialPrice">#REF!</definedName>
    <definedName name="tbl_ProdInfo">#REF!</definedName>
    <definedName name="wrn.chi._.tiÆt.">{#N/A,#N/A,FALSE,"Chi tiÆt"}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jsJPhygPNAMgsR97ofT7RIYDRp258fwZJTiEhx+yqU="/>
    </ext>
  </extLst>
</workbook>
</file>

<file path=xl/calcChain.xml><?xml version="1.0" encoding="utf-8"?>
<calcChain xmlns="http://schemas.openxmlformats.org/spreadsheetml/2006/main">
  <c r="B8" i="2" l="1"/>
  <c r="B12" i="2" s="1"/>
  <c r="E27" i="3"/>
  <c r="D27" i="3"/>
  <c r="C27" i="3"/>
  <c r="E20" i="3"/>
  <c r="D20" i="3"/>
  <c r="E13" i="3"/>
  <c r="D13" i="3"/>
  <c r="C13" i="3"/>
  <c r="B15" i="2"/>
  <c r="B14" i="2"/>
  <c r="B13" i="2"/>
  <c r="C19" i="2"/>
  <c r="D19" i="2"/>
  <c r="C12" i="2"/>
  <c r="D12" i="2"/>
  <c r="C20" i="3" l="1"/>
  <c r="B19" i="2"/>
</calcChain>
</file>

<file path=xl/sharedStrings.xml><?xml version="1.0" encoding="utf-8"?>
<sst xmlns="http://schemas.openxmlformats.org/spreadsheetml/2006/main" count="50" uniqueCount="26">
  <si>
    <t>Tháng 12/2025</t>
  </si>
  <si>
    <t>Số hóa đơn thu hộ</t>
  </si>
  <si>
    <t>Số tiền thu hộ (bao gồm VAT)</t>
  </si>
  <si>
    <t>Phí thu hộ đã chi trả (đã bao gồm VAT)</t>
  </si>
  <si>
    <t>Tháng 07/2025</t>
  </si>
  <si>
    <t>Tháng 08/2025</t>
  </si>
  <si>
    <t>Lũy kế 6 tháng cuối năm 2025</t>
  </si>
  <si>
    <t>Tháng 01/2026</t>
  </si>
  <si>
    <t>Tháng 09/2025</t>
  </si>
  <si>
    <t>Tháng 10/2025</t>
  </si>
  <si>
    <t>Tháng 11/2025</t>
  </si>
  <si>
    <t>Lũy kế 6 tháng đầu năm 2026</t>
  </si>
  <si>
    <t>Tháng 02/2026</t>
  </si>
  <si>
    <t>Tháng 03/2026</t>
  </si>
  <si>
    <t>Tháng 04/2026</t>
  </si>
  <si>
    <t>Tháng 05/2026</t>
  </si>
  <si>
    <t>Tháng 06/2026</t>
  </si>
  <si>
    <t>THỐNG KÊ CHI PHÍ THUÊ NGÂN HÀNG/TỔ CHỨC TRUNG GIAN THANH TOÁN (NH/TCTG)</t>
  </si>
  <si>
    <t>CÔNG TY ĐIỆN LỰC LÂM ĐỒNG</t>
  </si>
  <si>
    <t>Tháng 06/2025</t>
  </si>
  <si>
    <t>Tháng</t>
  </si>
  <si>
    <t xml:space="preserve">Điện lực </t>
  </si>
  <si>
    <t>Bảo Lộc</t>
  </si>
  <si>
    <t>Lagi</t>
  </si>
  <si>
    <t>Gia Nghĩa</t>
  </si>
  <si>
    <t>THỐNG KÊ CHI PHÍ THUÊ NGÂN HÀNG/TỔ CHỨC TRUNG GIAN THANH TOÁN (NH/TCTG) ĐIỆN LỰC BẢO LỘC, LAGI, GIA NGHĨA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</si>
</sst>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2"/>
      <color rgb="FF000000"/>
      <name val="Times New Roman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  <scheme val="minor"/>
    </font>
    <font>
      <sz val="8"/>
      <name val="Times New Roman"/>
      <family val="1"/>
      <scheme val="minor"/>
    </font>
    <font>
      <b/>
      <sz val="12"/>
      <color rgb="FF000000"/>
      <name val="Times New Roman"/>
      <family val="1"/>
      <scheme val="minor"/>
    </font>
    <font>
      <sz val="13"/>
      <color rgb="FF000000"/>
      <name val="Times New Roman"/>
      <family val="1"/>
    </font>
    <font>
      <sz val="12"/>
      <color rgb="FFFF0000"/>
      <name val="Times New Roman"/>
      <family val="1"/>
      <scheme val="minor"/>
    </font>
    <font>
      <sz val="12"/>
      <color rgb="FF0070C0"/>
      <name val="Times New Roman"/>
      <family val="1"/>
      <scheme val="minor"/>
    </font>
    <font>
      <sz val="12"/>
      <name val="Times New Roman"/>
      <family val="1"/>
    </font>
    <font>
      <sz val="13"/>
      <name val="Times New Roman"/>
      <family val="1"/>
    </font>
    <font>
      <sz val="12"/>
      <name val="Times New Roman"/>
      <family val="1"/>
      <scheme val="minor"/>
    </font>
    <font>
      <b/>
      <sz val="12"/>
      <name val="Times New Roma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5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5" fillId="0" borderId="0" xfId="0" applyFont="1"/>
    <xf numFmtId="0" fontId="2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41" fontId="8" fillId="3" borderId="2" xfId="1" applyFont="1" applyFill="1" applyBorder="1" applyAlignment="1">
      <alignment horizontal="right" wrapText="1"/>
    </xf>
    <xf numFmtId="0" fontId="3" fillId="0" borderId="3" xfId="0" applyFont="1" applyBorder="1" applyAlignment="1">
      <alignment vertical="center" wrapText="1"/>
    </xf>
    <xf numFmtId="41" fontId="3" fillId="3" borderId="2" xfId="1" applyFont="1" applyFill="1" applyBorder="1" applyAlignment="1">
      <alignment vertical="center" wrapText="1"/>
    </xf>
    <xf numFmtId="0" fontId="9" fillId="0" borderId="0" xfId="0" applyFont="1"/>
    <xf numFmtId="0" fontId="3" fillId="2" borderId="2" xfId="0" applyFont="1" applyFill="1" applyBorder="1" applyAlignment="1">
      <alignment vertical="center" wrapText="1"/>
    </xf>
    <xf numFmtId="41" fontId="3" fillId="2" borderId="5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1" fontId="3" fillId="2" borderId="2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3" fontId="8" fillId="3" borderId="2" xfId="0" applyNumberFormat="1" applyFont="1" applyFill="1" applyBorder="1" applyAlignment="1">
      <alignment horizontal="right" wrapText="1"/>
    </xf>
    <xf numFmtId="3" fontId="5" fillId="3" borderId="2" xfId="0" applyNumberFormat="1" applyFont="1" applyFill="1" applyBorder="1"/>
    <xf numFmtId="0" fontId="7" fillId="0" borderId="0" xfId="0" applyFont="1"/>
    <xf numFmtId="41" fontId="0" fillId="0" borderId="0" xfId="1" applyFont="1"/>
    <xf numFmtId="0" fontId="10" fillId="0" borderId="0" xfId="0" applyFont="1"/>
    <xf numFmtId="41" fontId="10" fillId="0" borderId="0" xfId="1" applyFont="1"/>
    <xf numFmtId="41" fontId="0" fillId="0" borderId="0" xfId="0" applyNumberFormat="1"/>
    <xf numFmtId="0" fontId="11" fillId="2" borderId="2" xfId="0" applyFont="1" applyFill="1" applyBorder="1" applyAlignment="1">
      <alignment vertical="center" wrapText="1"/>
    </xf>
    <xf numFmtId="3" fontId="12" fillId="3" borderId="2" xfId="0" applyNumberFormat="1" applyFont="1" applyFill="1" applyBorder="1" applyAlignment="1">
      <alignment horizontal="right" wrapText="1"/>
    </xf>
    <xf numFmtId="3" fontId="13" fillId="3" borderId="2" xfId="0" applyNumberFormat="1" applyFont="1" applyFill="1" applyBorder="1"/>
    <xf numFmtId="41" fontId="5" fillId="0" borderId="0" xfId="1" applyFont="1"/>
    <xf numFmtId="41" fontId="2" fillId="2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" vertical="justify"/>
    </xf>
    <xf numFmtId="0" fontId="7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justify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LUUTAM\VBAO\BookJHFGJGXBGCCNCVCCVVCVCC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JHFGJGXBGCCNCVCCVVCVCC2"/>
      <sheetName val="#REF"/>
      <sheetName val="Sheet1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Sheet2"/>
      <sheetName val="XL4Poppy"/>
      <sheetName val="_REF"/>
      <sheetName val="MTO REV.2(ARMOR)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BC Ton Kho New"/>
      <sheetName val="BC Cua GSBH New"/>
      <sheetName val="10000000"/>
      <sheetName val="MTP"/>
      <sheetName val="DTKLg"/>
      <sheetName val="VL"/>
      <sheetName val="PTVTu"/>
      <sheetName val="THKP-Full"/>
      <sheetName val="KLg"/>
      <sheetName val="Chitiet"/>
      <sheetName val="Dongia"/>
      <sheetName val="bieu_solieu"/>
      <sheetName val="Chuso"/>
      <sheetName val="Bhyt t1"/>
      <sheetName val="ThongSo"/>
      <sheetName val="data"/>
      <sheetName val="CT Thang Mo"/>
      <sheetName val="CT  PL"/>
      <sheetName val="dongia (2)"/>
      <sheetName val="Gia_GC_Satthep"/>
      <sheetName val="Ref"/>
      <sheetName val="PNT-QUOT-#3"/>
      <sheetName val="COAT&amp;WRAP-QIOT-#3"/>
      <sheetName val="ESTI."/>
      <sheetName val="DI-ESTI"/>
      <sheetName val="DS CHU Ph_x0001__x0000_"/>
      <sheetName val=""/>
      <sheetName val="MTO_REV_2(ARMOR)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3pha-XDM"/>
      <sheetName val="3pha-CT"/>
      <sheetName val="VT A cap-THI CONG"/>
      <sheetName val="DANH SACH VAT TU THU HOI"/>
      <sheetName val="TONG.HT"/>
      <sheetName val="DAMNEN KHONG HC"/>
      <sheetName val="dochat"/>
      <sheetName val="DAM NEN HC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dongia_(2)"/>
      <sheetName val="Leave_Statistic_Report"/>
      <sheetName val="Detailed Reporting"/>
      <sheetName val="DS CHU Ph_x0001__"/>
      <sheetName val="���v������"/>
      <sheetName val="���Z�C��"/>
      <sheetName val="PL_�V�����Q��"/>
      <sheetName val="PL_DUO_2�Q��"/>
      <sheetName val="total"/>
      <sheetName val="global"/>
      <sheetName val="2001"/>
      <sheetName val="156nhap01"/>
      <sheetName val="CT00"/>
      <sheetName val="CT99"/>
      <sheetName val="MTP1"/>
      <sheetName val="¡X??v??¡Ea?A"/>
      <sheetName val="???Z?C?3"/>
      <sheetName val="?O¡§u"/>
      <sheetName val="PL_?V?¡V?A?Q??"/>
      <sheetName val="PL_DUO_2?Q??"/>
      <sheetName val="¡X__v__¡Ea_A"/>
      <sheetName val="___Z_C_3"/>
      <sheetName val="_O¡§u"/>
      <sheetName val="PL__V_¡V_A_Q__"/>
      <sheetName val="PL_DUO_2_Q__"/>
      <sheetName val="REN"/>
      <sheetName val="VC"/>
      <sheetName val="gVL"/>
      <sheetName val="Sheet3"/>
      <sheetName val="GiaVL"/>
      <sheetName val="ND"/>
      <sheetName val="Cp&gt;10-Ln&lt;10"/>
      <sheetName val="Ln&lt;20"/>
      <sheetName val="EIRR&gt;1&lt;1"/>
      <sheetName val="EIRR&gt; 2"/>
      <sheetName val="EIRR&lt;2"/>
      <sheetName val="SILICATE"/>
      <sheetName val="DON GIA"/>
      <sheetName val="dg-VTu"/>
      <sheetName val="DAMNEN_KHONG_HC"/>
      <sheetName val="DAM_NEN_HC"/>
      <sheetName val="DS_CHU_Ph"/>
      <sheetName val="ESTI_"/>
      <sheetName val="DS_CHU_Ph?"/>
      <sheetName val="CT_Thang_Mo"/>
      <sheetName val="CT__PL"/>
      <sheetName val="Detailed_Reporting"/>
      <sheetName val="BC_Ton_Kho_New"/>
      <sheetName val="BC_Cua_GSBH_New"/>
      <sheetName val="DU LIEU"/>
      <sheetName val="XL4Pop_x0000__x0000_"/>
      <sheetName val="BBo"/>
      <sheetName val="DS_CHU_Ph_"/>
      <sheetName val="TAI"/>
      <sheetName val="QUANG"/>
      <sheetName val="XL4Test5"/>
      <sheetName val="DS CHU Ph_x005f_x0001_"/>
      <sheetName val="DS CHU Ph_x005f_x0001__"/>
      <sheetName val="DS CHU Ph_x005f_x0001__x005f_x0000_"/>
      <sheetName val="206"/>
      <sheetName val="UA602"/>
      <sheetName val="DON GIA CAN THO"/>
      <sheetName val="DG"/>
      <sheetName val="VP-MM"/>
      <sheetName val="BAOGIATHANG"/>
      <sheetName val="vanchuyen TC"/>
      <sheetName val="DATA HT"/>
      <sheetName val="DG-TNHC-85"/>
      <sheetName val="dsphongban"/>
      <sheetName val="CHITIET VL-NC-TT1p"/>
      <sheetName val="TONGKE3p"/>
      <sheetName val="PTTL"/>
      <sheetName val="CHITIET VL-NC-TT -1p"/>
      <sheetName val="CHITIET VL-NC-TT-3p"/>
      <sheetName val="khongin"/>
      <sheetName val="CHITIET VL-NC"/>
      <sheetName val="Dgia vat tu"/>
      <sheetName val="Don gia_III"/>
      <sheetName val="Quantity"/>
      <sheetName val="CHUONG TRINH"/>
      <sheetName val="5.CPXL"/>
      <sheetName val="XL4Pop??"/>
      <sheetName val="Chiet tinh dz35"/>
      <sheetName val="Tke"/>
      <sheetName val="DS CHU Ph_x005f_x0001_?"/>
      <sheetName val="Vat tu XD"/>
      <sheetName val="DS CHU Ph_x005f_x005f_x005f_x0001__x005f_x005f_x0"/>
      <sheetName val="DS CHU Ph_x005f_x005f_x005f_x0001__"/>
      <sheetName val="DS CHU Ph_x005f_x005f_x005f_x0001_"/>
      <sheetName val="FW Sum"/>
      <sheetName val="2002"/>
      <sheetName val="Detail"/>
      <sheetName val="登録データ"/>
      <sheetName val="MTO_REV_2(ARMOR)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ongia_(2)1"/>
      <sheetName val="Leave_Statistic_Report1"/>
      <sheetName val="FW_Sum"/>
      <sheetName val="노임단가"/>
      <sheetName val="OPERATING HEAD"/>
      <sheetName val="???v??????"/>
      <sheetName val="???Z?C??"/>
      <sheetName val="PL_?V?????Q??"/>
      <sheetName val="?????"/>
      <sheetName val="達成729"/>
      <sheetName val="___v______"/>
      <sheetName val="___Z_C__"/>
      <sheetName val="PL__V_____Q__"/>
      <sheetName val="_____"/>
      <sheetName val="Product hierachy-old"/>
      <sheetName val="Thuc thanh"/>
      <sheetName val="????????"/>
      <sheetName val="bang tien luong"/>
      <sheetName val="XL4Pop__"/>
      <sheetName val="XL4Pop_x005f_x0000__x005f_x0000_"/>
      <sheetName val="XL4Pop_x005f_x005f_x005f_x0000__x005f_x005f_x0000"/>
      <sheetName val="DS CHU Ph_x005f_x005f_x005f_x005f_x005f_x005f_x00"/>
      <sheetName val="XL4Pop_x005f_x005f_x005f_x005f_x005f_x005f_x005f_x0000_"/>
      <sheetName val="XL4Pop?"/>
      <sheetName val="MTO_REV_2(ARMOR)2"/>
      <sheetName val="DS_CHU_Phuc2"/>
      <sheetName val="DS_THI_AT2"/>
      <sheetName val="Bien_Ban2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ongia_(2)2"/>
      <sheetName val="ESTI_1"/>
      <sheetName val="Leave_Statistic_Report2"/>
      <sheetName val="FW_Sum1"/>
      <sheetName val="Bhyt_t1"/>
      <sheetName val="CHUONG_TRINH"/>
      <sheetName val="DU_LIEU"/>
      <sheetName val="DS_CHU_Ph_x005f_x0001__x005f_x0000_"/>
      <sheetName val="DS_CHU_Ph_x005f_x0001__"/>
      <sheetName val="DS_CHU_Ph_x005f_x0001_"/>
      <sheetName val="DS_CHU_Ph_x005f_x005f_x005f_x0001__x005f_x005f_x0"/>
      <sheetName val="DS_CHU_Ph_x005f_x005f_x005f_x0001__"/>
      <sheetName val="DS_CHU_Ph_x005f_x005f_x005f_x0001_"/>
      <sheetName val="DS_CHU_Ph_x005f_x005f_x005f_x005f_x005f_x005f_x00"/>
      <sheetName val="DS_CHU_Ph_x005f_x0001_?"/>
      <sheetName val="⑤弁当"/>
      <sheetName val="ŒˆZC³"/>
      <sheetName val="Ø“ü"/>
      <sheetName val="PL_V–‹ÆQŒˆ"/>
      <sheetName val="SPS"/>
      <sheetName val="Forecast"/>
      <sheetName val="LS_VAS"/>
      <sheetName val="590P追加"/>
      <sheetName val="KKKKKKKK"/>
      <sheetName val="新ﾗｲﾝﾍﾞｰｽ"/>
      <sheetName val="新ﾗｲﾝ将来戦略"/>
      <sheetName val="Nluc KTFA(Khong Có KPY)"/>
      <sheetName val="Năng lưc -2010-2S"/>
      <sheetName val="鋳造機負荷，要員(2S)"/>
      <sheetName val="Năng lực CĐ PHUN BI-09 "/>
      <sheetName val="Huong dan"/>
      <sheetName val="Name"/>
      <sheetName val="1_TTChung"/>
      <sheetName val="bangluong5.2"/>
      <sheetName val="Chi tiet"/>
      <sheetName val="ma-pt"/>
      <sheetName val="DANH BẠ"/>
      <sheetName val="TONG HOP"/>
      <sheetName val="MAU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M13"/>
      <sheetName val="M14"/>
      <sheetName val="M15"/>
      <sheetName val="T.Tinh"/>
      <sheetName val="cc440THD"/>
      <sheetName val="CaQ5 gd2"/>
      <sheetName val="Duong PhuHuu"/>
      <sheetName val="Vh HTLO P14"/>
      <sheetName val="600!25D NT"/>
      <sheetName val="600!29D NT"/>
      <sheetName val="600!30D NT"/>
      <sheetName val="Chung"/>
      <sheetName val="YteP1"/>
      <sheetName val="BinhMinh"/>
      <sheetName val="YteP3"/>
      <sheetName val="20000000"/>
      <sheetName val="30000000"/>
      <sheetName val="DS phuong tien"/>
      <sheetName val="Calendar Reminder"/>
      <sheetName val="SPECSHEET"/>
      <sheetName val="예가표"/>
      <sheetName val="DAMNEN_KHONG_HC1"/>
      <sheetName val="DAM_NEN_HC1"/>
      <sheetName val="Detailed_Reporting1"/>
      <sheetName val="CT_Thang_Mo1"/>
      <sheetName val="CT__PL1"/>
      <sheetName val="BC_Ton_Kho_New1"/>
      <sheetName val="BC_Cua_GSBH_New1"/>
      <sheetName val="OPERATING_HEAD"/>
      <sheetName val="Calendar_Reminder"/>
      <sheetName val="Nluc_KTFA(Khong_Có_KPY)"/>
      <sheetName val="Năng_lưc_-2010-2S"/>
      <sheetName val="Năng_lực_CĐ_PHUN_BI-09_"/>
      <sheetName val="Note VAS Q3.11-Q3.12"/>
      <sheetName val="ThietBi"/>
      <sheetName val="XL4Pop_x005f_x005f_x005f_x005f_x005f_x005f_x005f_x005f_"/>
      <sheetName val="Table"/>
      <sheetName val="truc tiep"/>
      <sheetName val="XL4Pop_x005f_x005f_x005f_x0000_"/>
      <sheetName val="XL4Pop_x005f_x005f_x005f_x005f_"/>
      <sheetName val="DS CHU Ph_x005f_x0001__x0"/>
      <sheetName val="DS CHU Ph_x005f_x005f_x00"/>
      <sheetName val="XL4Pop_x005f_x0000__x0000"/>
      <sheetName val="DS CHU Ph_x005f_x005f_x005f_x0001__x0"/>
      <sheetName val="DS CHU Ph_x005f_x005f_x005f_x005f_x00"/>
      <sheetName val="XL4Pop_x005f_x005f_x005f_x0000__x0000"/>
      <sheetName val="Huong dan chung"/>
      <sheetName val="Roster"/>
      <sheetName val="Leave"/>
      <sheetName val="Shift"/>
      <sheetName val="??-BLDG"/>
      <sheetName val="Chiet tinh dz22"/>
      <sheetName val="songang"/>
      <sheetName val="cdps"/>
      <sheetName val="Xeo 1"/>
      <sheetName val="J51-J70-J76-EL"/>
      <sheetName val="PB THEO HUYỆN 2010"/>
      <sheetName val="NGOÀI TINH 2010"/>
      <sheetName val="thao-go"/>
      <sheetName val="????"/>
      <sheetName val="ફS몠_x0005_㠂ఀ_x001a_＀_xffff_ヿሱ堀✶耀መఀ_x001a__x0000_㠂吀✮䬀પS몠者ሙ_x0000__x0000__x0000_몠"/>
      <sheetName val="COST"/>
      <sheetName val="SRP FH"/>
      <sheetName val="Profit"/>
      <sheetName val="V2-14Jan12-2012 process cost"/>
      <sheetName val="MTO_REV_2(ARMOR)3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dongia_(2)3"/>
      <sheetName val="Leave_Statistic_Report3"/>
      <sheetName val="ESTI_2"/>
      <sheetName val="FW_Sum2"/>
      <sheetName val="Bhyt_t11"/>
      <sheetName val="DS_CHU_Ph_x005f_x0001__x005f_x0000_1"/>
      <sheetName val="DS_CHU_Ph_x005f_x0001__1"/>
      <sheetName val="DS_CHU_Ph_x005f_x0001_1"/>
      <sheetName val="OPERATING_HEAD1"/>
      <sheetName val="DS_CHU_Ph_x005f_x0001_?1"/>
      <sheetName val="DS_CHU_Ph_x005f_x005f_x005f_x0001__x005f_x005f_x1"/>
      <sheetName val="DS_CHU_Ph_x005f_x005f_x005f_x0001__1"/>
      <sheetName val="DS_CHU_Ph_x005f_x005f_x005f_x0001_1"/>
      <sheetName val="MTO_REV_2(ARMOR)5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dongia_(2)5"/>
      <sheetName val="Leave_Statistic_Report5"/>
      <sheetName val="ESTI_4"/>
      <sheetName val="FW_Sum4"/>
      <sheetName val="Bhyt_t13"/>
      <sheetName val="DAMNEN_KHONG_HC3"/>
      <sheetName val="DAM_NEN_HC3"/>
      <sheetName val="Detailed_Reporting3"/>
      <sheetName val="CT_Thang_Mo3"/>
      <sheetName val="CT__PL3"/>
      <sheetName val="BC_Ton_Kho_New3"/>
      <sheetName val="BC_Cua_GSBH_New3"/>
      <sheetName val="DS_CHU_Ph_x005f_x0001__x005f_x0000_3"/>
      <sheetName val="DS_CHU_Ph_x005f_x0001__3"/>
      <sheetName val="DS_CHU_Ph_x005f_x0001_3"/>
      <sheetName val="OPERATING_HEAD3"/>
      <sheetName val="DS_CHU_Ph_x005f_x0001_?3"/>
      <sheetName val="DS_CHU_Ph_x005f_x005f_x005f_x0001__x005f_x005f_x3"/>
      <sheetName val="DS_CHU_Ph_x005f_x005f_x005f_x0001__3"/>
      <sheetName val="DS_CHU_Ph_x005f_x005f_x005f_x0001_3"/>
      <sheetName val="MTO_REV_2(ARMOR)4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dongia_(2)4"/>
      <sheetName val="Leave_Statistic_Report4"/>
      <sheetName val="ESTI_3"/>
      <sheetName val="FW_Sum3"/>
      <sheetName val="Bhyt_t12"/>
      <sheetName val="DAMNEN_KHONG_HC2"/>
      <sheetName val="DAM_NEN_HC2"/>
      <sheetName val="Detailed_Reporting2"/>
      <sheetName val="CT_Thang_Mo2"/>
      <sheetName val="CT__PL2"/>
      <sheetName val="BC_Ton_Kho_New2"/>
      <sheetName val="BC_Cua_GSBH_New2"/>
      <sheetName val="DS_CHU_Ph_x005f_x0001__x005f_x0000_2"/>
      <sheetName val="DS_CHU_Ph_x005f_x0001__2"/>
      <sheetName val="DS_CHU_Ph_x005f_x0001_2"/>
      <sheetName val="OPERATING_HEAD2"/>
      <sheetName val="DS_CHU_Ph_x005f_x0001_?2"/>
      <sheetName val="DS_CHU_Ph_x005f_x005f_x005f_x0001__x005f_x005f_x2"/>
      <sheetName val="DS_CHU_Ph_x005f_x005f_x005f_x0001__2"/>
      <sheetName val="DS_CHU_Ph_x005f_x005f_x005f_x0001_2"/>
      <sheetName val="J94A-WT"/>
      <sheetName val="参考 人員調査表"/>
      <sheetName val="USING-ENG"/>
      <sheetName val="____"/>
      <sheetName val="R2_E"/>
      <sheetName val="ctdg"/>
      <sheetName val="ptvt"/>
      <sheetName val="Tra_bang"/>
      <sheetName val="DTCT"/>
      <sheetName val="VL,NC"/>
      <sheetName val="DGBT"/>
      <sheetName val="DGVT"/>
      <sheetName val="DGXLD"/>
      <sheetName val="quy luong"/>
      <sheetName val="Danh sách"/>
      <sheetName val="tính hệ số"/>
      <sheetName val="Menu"/>
      <sheetName val="Apr'10-Daily Sales"/>
      <sheetName val="May'10-Daily Sales"/>
      <sheetName val="Jun'10-Daily Sales"/>
      <sheetName val="Jul'10-Daily Sales"/>
      <sheetName val="Aug'10-Daily Sales"/>
      <sheetName val="Sep'10-Daily Sales"/>
      <sheetName val="Oct'10-Daily Sales"/>
      <sheetName val="Nov'10-Daily Sales"/>
      <sheetName val="Dec'10-Daily Sales"/>
      <sheetName val="Jan'11-Daily Sales"/>
      <sheetName val="Feb'11-Daily Sales"/>
      <sheetName val="Mar'11-Daily Sales"/>
      <sheetName val="Apr'11-Daily Sales"/>
      <sheetName val="May'11-Daily Sales"/>
      <sheetName val="Jun'11-Daily Sales"/>
      <sheetName val="Jul'11-Daily Sales"/>
      <sheetName val="Aug'11-Daily Sales"/>
      <sheetName val="Sep'11-Daily Sales"/>
      <sheetName val="Oct'11-Daily Sales"/>
      <sheetName val="Nov'11-Daily Sales"/>
      <sheetName val="Dec'11-Daily Sales"/>
      <sheetName val="ﾃﾞｰﾀｼｰﾄ"/>
      <sheetName val="ફS몠_x0005_㠂ఀ_x001a_＀_xffff_ヿሱ堀✶耀መఀ_x001a_?㠂吀✮䬀પS몠者ሙ???몠"/>
      <sheetName val="ocean voyage"/>
      <sheetName val="ﾌﾟﾛﾄ_P772分解5号機"/>
      <sheetName val="���v�����"/>
      <sheetName val="PL_�V����Q��"/>
      <sheetName val="PL_DUO_2�_x0001_��"/>
      <sheetName val="DS_CHU_Ph_x0005_c1"/>
      <sheetName val="DS_THI_AT_x0001_"/>
      <sheetName val="CT Thang _x0005_o"/>
      <sheetName val="PL_DUO_2?_x0001_??"/>
      <sheetName val="CT_Thang__x0005_o"/>
      <sheetName val="dsphongba_x0006_"/>
      <sheetName val="DS_CHU_Ph_x0005_c2"/>
      <sheetName val="CT_Thang__x0005_o1"/>
      <sheetName val="dongia_(2_x0001_3"/>
      <sheetName val="CT_Thang__x0005_o3"/>
      <sheetName val="DS CHU Ph_x005f_x005f_x005f_x0001_?"/>
      <sheetName val="DS_CHU_Ph_x005f_x005f_x005f_x0001_?"/>
      <sheetName val="加工費率設定"/>
      <sheetName val="A"/>
      <sheetName val="法規課84上半年經營實績"/>
      <sheetName val="HEAD LAMP BRANDING"/>
      <sheetName val="初期03"/>
      <sheetName val="________"/>
      <sheetName val="XL4Pop_"/>
      <sheetName val="Nhan cong"/>
      <sheetName val="Vat tu"/>
      <sheetName val="Bang KL"/>
      <sheetName val="DM.ChiPhi"/>
      <sheetName val="Tổng kê"/>
      <sheetName val="CT -THVLNC"/>
      <sheetName val="__-BLDG"/>
      <sheetName val="ફS몠_x0005_㠂ఀ_x001a_＀_xffff_ヿሱ堀✶耀መఀ_x001a_"/>
      <sheetName val="GIAVLIEU"/>
      <sheetName val="DS_CHU_Ph_x0001__x0000_"/>
      <sheetName val="DS_CHU_Ph_x0001__"/>
      <sheetName val="DS_CHU_Ph_x005f_x0001__x0"/>
      <sheetName val="DS_CHU_Ph_x005f_x005f_x00"/>
      <sheetName val="DS_CHU_Ph_x0001_?"/>
      <sheetName val="XL4Pop_x005f_x0000_"/>
      <sheetName val="XL4Pop_x005f_x005f_"/>
      <sheetName val="DS CHU Ph_x0001__x0"/>
      <sheetName val="DS CHU Ph_x00"/>
      <sheetName val="XL4Pop_x0000__x0000"/>
      <sheetName val="DS_CHU_Ph_x0001__x0000_1"/>
      <sheetName val="DS_CHU_Ph_x0001__1"/>
      <sheetName val="DS_CHU_Ph_x0001_?1"/>
      <sheetName val="DS_CHU_Ph_x005f_x0001__x1"/>
      <sheetName val="DS_CHU_Ph_x0001__x0000_3"/>
      <sheetName val="DS_CHU_Ph_x0001__3"/>
      <sheetName val="DS_CHU_Ph_x0001_?3"/>
      <sheetName val="DS_CHU_Ph_x005f_x0001__x3"/>
      <sheetName val="DS_CHU_Ph_x0001__x0000_2"/>
      <sheetName val="DS_CHU_Ph_x0001__2"/>
      <sheetName val="DS_CHU_Ph_x0001_?2"/>
      <sheetName val="DS_CHU_Ph_x005f_x0001__x2"/>
      <sheetName val="DS_CHU_Ph_x0001__x0"/>
      <sheetName val="DS_CHU_Ph_x00"/>
      <sheetName val="DS_CHU_Ph_x0001__x1"/>
      <sheetName val="DS_CHU_Ph_x0001__x3"/>
      <sheetName val="DS_CHU_Ph_x0001__x2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4"/>
  <sheetViews>
    <sheetView tabSelected="1" workbookViewId="0">
      <selection activeCell="J20" sqref="J20"/>
    </sheetView>
  </sheetViews>
  <sheetFormatPr defaultColWidth="11.25" defaultRowHeight="15" customHeight="1" x14ac:dyDescent="0.25"/>
  <cols>
    <col min="1" max="1" width="28" customWidth="1"/>
    <col min="2" max="2" width="16.25" customWidth="1"/>
    <col min="3" max="3" width="22.875" customWidth="1"/>
    <col min="4" max="4" width="23.5" customWidth="1"/>
  </cols>
  <sheetData>
    <row r="1" spans="1:7" ht="36" customHeight="1" x14ac:dyDescent="0.25">
      <c r="A1" s="30" t="s">
        <v>17</v>
      </c>
      <c r="B1" s="30"/>
      <c r="C1" s="30"/>
      <c r="D1" s="30"/>
    </row>
    <row r="2" spans="1:7" ht="15.75" x14ac:dyDescent="0.25">
      <c r="A2" s="30"/>
      <c r="B2" s="30"/>
      <c r="C2" s="30"/>
      <c r="D2" s="30"/>
    </row>
    <row r="3" spans="1:7" ht="20.25" customHeight="1" x14ac:dyDescent="0.25"/>
    <row r="4" spans="1:7" ht="69.75" customHeight="1" x14ac:dyDescent="0.25">
      <c r="A4" s="4" t="s">
        <v>18</v>
      </c>
      <c r="B4" s="8" t="s">
        <v>1</v>
      </c>
      <c r="C4" s="8" t="s">
        <v>2</v>
      </c>
      <c r="D4" s="8" t="s">
        <v>3</v>
      </c>
    </row>
    <row r="5" spans="1:7" s="5" customFormat="1" ht="16.5" x14ac:dyDescent="0.25">
      <c r="A5" s="6" t="s">
        <v>19</v>
      </c>
      <c r="B5" s="9">
        <v>1203619</v>
      </c>
      <c r="C5" s="9">
        <v>1079200420788</v>
      </c>
      <c r="D5" s="9">
        <v>1821784348</v>
      </c>
      <c r="G5" s="28"/>
    </row>
    <row r="6" spans="1:7" s="5" customFormat="1" ht="16.5" x14ac:dyDescent="0.25">
      <c r="A6" s="6" t="s">
        <v>4</v>
      </c>
      <c r="B6" s="9">
        <v>683792</v>
      </c>
      <c r="C6" s="9">
        <v>564119675293</v>
      </c>
      <c r="D6" s="9">
        <v>1004509807</v>
      </c>
      <c r="G6" s="28"/>
    </row>
    <row r="7" spans="1:7" s="5" customFormat="1" ht="16.5" x14ac:dyDescent="0.25">
      <c r="A7" s="7" t="s">
        <v>5</v>
      </c>
      <c r="B7" s="9">
        <v>939525</v>
      </c>
      <c r="C7" s="9">
        <v>864527022891</v>
      </c>
      <c r="D7" s="9">
        <v>1425199593</v>
      </c>
      <c r="G7" s="28"/>
    </row>
    <row r="8" spans="1:7" s="5" customFormat="1" ht="16.5" x14ac:dyDescent="0.25">
      <c r="A8" s="7" t="s">
        <v>8</v>
      </c>
      <c r="B8" s="9">
        <f>2055447-400000</f>
        <v>1655447</v>
      </c>
      <c r="C8" s="9">
        <v>1862091550322</v>
      </c>
      <c r="D8" s="9">
        <v>2535284810</v>
      </c>
      <c r="G8" s="28"/>
    </row>
    <row r="9" spans="1:7" s="5" customFormat="1" ht="16.5" x14ac:dyDescent="0.25">
      <c r="A9" s="7" t="s">
        <v>9</v>
      </c>
      <c r="B9" s="9">
        <v>1095366</v>
      </c>
      <c r="C9" s="9">
        <v>1086922880212</v>
      </c>
      <c r="D9" s="9">
        <v>1663899660</v>
      </c>
      <c r="G9" s="28"/>
    </row>
    <row r="10" spans="1:7" s="5" customFormat="1" ht="16.5" x14ac:dyDescent="0.25">
      <c r="A10" s="7" t="s">
        <v>10</v>
      </c>
      <c r="B10" s="9">
        <v>1079907</v>
      </c>
      <c r="C10" s="9">
        <v>940392613751</v>
      </c>
      <c r="D10" s="9">
        <v>1625790552</v>
      </c>
      <c r="G10" s="28"/>
    </row>
    <row r="11" spans="1:7" s="5" customFormat="1" ht="16.5" x14ac:dyDescent="0.25">
      <c r="A11" s="7" t="s">
        <v>0</v>
      </c>
      <c r="B11" s="9">
        <v>1582794</v>
      </c>
      <c r="C11" s="9">
        <v>1400979833687</v>
      </c>
      <c r="D11" s="9">
        <v>2711537735</v>
      </c>
      <c r="G11" s="28"/>
    </row>
    <row r="12" spans="1:7" s="12" customFormat="1" ht="15.75" x14ac:dyDescent="0.25">
      <c r="A12" s="10" t="s">
        <v>6</v>
      </c>
      <c r="B12" s="11">
        <f>SUM(B5:B11)</f>
        <v>8240450</v>
      </c>
      <c r="C12" s="11">
        <f t="shared" ref="C12:D12" si="0">SUM(C5:C11)</f>
        <v>7798233996944</v>
      </c>
      <c r="D12" s="11">
        <f t="shared" si="0"/>
        <v>12788006505</v>
      </c>
      <c r="G12" s="28"/>
    </row>
    <row r="13" spans="1:7" s="5" customFormat="1" ht="16.5" x14ac:dyDescent="0.25">
      <c r="A13" s="6" t="s">
        <v>7</v>
      </c>
      <c r="B13" s="9">
        <f>1064424-110000</f>
        <v>954424</v>
      </c>
      <c r="C13" s="9">
        <v>961665321504</v>
      </c>
      <c r="D13" s="9">
        <v>1497259309</v>
      </c>
      <c r="G13" s="28"/>
    </row>
    <row r="14" spans="1:7" s="5" customFormat="1" ht="16.5" x14ac:dyDescent="0.25">
      <c r="A14" s="6" t="s">
        <v>12</v>
      </c>
      <c r="B14" s="9">
        <f>1068699+400000</f>
        <v>1468699</v>
      </c>
      <c r="C14" s="9">
        <v>1060546285736</v>
      </c>
      <c r="D14" s="9">
        <v>2641460835</v>
      </c>
      <c r="G14" s="28"/>
    </row>
    <row r="15" spans="1:7" s="5" customFormat="1" ht="16.5" x14ac:dyDescent="0.25">
      <c r="A15" s="6" t="s">
        <v>13</v>
      </c>
      <c r="B15" s="9">
        <f>1121048+400000</f>
        <v>1521048</v>
      </c>
      <c r="C15" s="9">
        <v>1015714629131</v>
      </c>
      <c r="D15" s="9">
        <v>2734520659</v>
      </c>
      <c r="G15" s="28"/>
    </row>
    <row r="16" spans="1:7" s="5" customFormat="1" ht="16.5" x14ac:dyDescent="0.25">
      <c r="A16" s="6" t="s">
        <v>14</v>
      </c>
      <c r="B16" s="9">
        <v>1074318</v>
      </c>
      <c r="C16" s="9">
        <v>1090074230056</v>
      </c>
      <c r="D16" s="9">
        <v>1641455005</v>
      </c>
      <c r="G16" s="28"/>
    </row>
    <row r="17" spans="1:7" s="5" customFormat="1" ht="16.5" x14ac:dyDescent="0.25">
      <c r="A17" s="6" t="s">
        <v>15</v>
      </c>
      <c r="B17" s="9">
        <v>1082211</v>
      </c>
      <c r="C17" s="9">
        <v>1134923252727</v>
      </c>
      <c r="D17" s="9">
        <v>1619015957</v>
      </c>
      <c r="G17" s="28"/>
    </row>
    <row r="18" spans="1:7" s="5" customFormat="1" ht="16.5" x14ac:dyDescent="0.25">
      <c r="A18" s="6" t="s">
        <v>16</v>
      </c>
      <c r="B18" s="9">
        <v>1080128</v>
      </c>
      <c r="C18" s="9">
        <v>1021039161693</v>
      </c>
      <c r="D18" s="9">
        <v>1874976300</v>
      </c>
      <c r="G18" s="28"/>
    </row>
    <row r="19" spans="1:7" s="12" customFormat="1" ht="15.75" x14ac:dyDescent="0.25">
      <c r="A19" s="13" t="s">
        <v>11</v>
      </c>
      <c r="B19" s="14">
        <f>SUM(B13:B18)</f>
        <v>7180828</v>
      </c>
      <c r="C19" s="14">
        <f t="shared" ref="C19:D19" si="1">SUM(C13:C18)</f>
        <v>6283962880847</v>
      </c>
      <c r="D19" s="14">
        <f t="shared" si="1"/>
        <v>12008688065</v>
      </c>
      <c r="G19" s="28"/>
    </row>
    <row r="20" spans="1:7" ht="16.5" customHeight="1" x14ac:dyDescent="0.25">
      <c r="A20" s="2"/>
      <c r="B20" s="2"/>
      <c r="C20" s="2"/>
      <c r="D20" s="3"/>
    </row>
    <row r="21" spans="1:7" ht="16.5" customHeight="1" x14ac:dyDescent="0.25">
      <c r="A21" s="2"/>
      <c r="B21" s="2"/>
      <c r="C21" s="2"/>
      <c r="D21" s="3"/>
    </row>
    <row r="22" spans="1:7" ht="16.5" customHeight="1" x14ac:dyDescent="0.25">
      <c r="A22" s="2"/>
      <c r="B22" s="2"/>
      <c r="C22" s="2"/>
      <c r="D22" s="3"/>
    </row>
    <row r="23" spans="1:7" ht="16.5" customHeight="1" x14ac:dyDescent="0.25">
      <c r="A23" s="2"/>
      <c r="B23" s="29"/>
      <c r="C23" s="2"/>
      <c r="D23" s="3"/>
    </row>
    <row r="24" spans="1:7" ht="16.5" customHeight="1" x14ac:dyDescent="0.25">
      <c r="A24" s="2"/>
      <c r="B24" s="2"/>
      <c r="C24" s="2"/>
      <c r="D24" s="3"/>
    </row>
    <row r="25" spans="1:7" ht="16.5" customHeight="1" x14ac:dyDescent="0.25">
      <c r="A25" s="2"/>
      <c r="B25" s="2"/>
      <c r="C25" s="2"/>
      <c r="D25" s="3"/>
    </row>
    <row r="26" spans="1:7" ht="16.5" customHeight="1" x14ac:dyDescent="0.25">
      <c r="A26" s="2"/>
      <c r="B26" s="2"/>
      <c r="C26" s="2"/>
      <c r="D26" s="3"/>
    </row>
    <row r="27" spans="1:7" ht="16.5" customHeight="1" x14ac:dyDescent="0.25">
      <c r="A27" s="2"/>
      <c r="B27" s="2"/>
      <c r="C27" s="2"/>
      <c r="D27" s="3"/>
    </row>
    <row r="28" spans="1:7" ht="16.5" customHeight="1" x14ac:dyDescent="0.25">
      <c r="A28" s="2"/>
      <c r="B28" s="2"/>
      <c r="C28" s="2"/>
      <c r="D28" s="3"/>
    </row>
    <row r="29" spans="1:7" ht="16.5" customHeight="1" x14ac:dyDescent="0.25">
      <c r="A29" s="2"/>
      <c r="B29" s="2"/>
      <c r="C29" s="2"/>
      <c r="D29" s="3"/>
    </row>
    <row r="30" spans="1:7" ht="16.5" customHeight="1" x14ac:dyDescent="0.25">
      <c r="A30" s="2"/>
      <c r="B30" s="2"/>
      <c r="C30" s="2"/>
      <c r="D30" s="3"/>
    </row>
    <row r="31" spans="1:7" ht="16.5" customHeight="1" x14ac:dyDescent="0.25">
      <c r="A31" s="2"/>
      <c r="B31" s="2"/>
      <c r="C31" s="2"/>
      <c r="D31" s="3"/>
    </row>
    <row r="32" spans="1:7" ht="16.5" customHeight="1" x14ac:dyDescent="0.25">
      <c r="A32" s="2"/>
      <c r="B32" s="2"/>
      <c r="C32" s="2"/>
      <c r="D32" s="3"/>
    </row>
    <row r="33" spans="1:4" ht="16.5" customHeight="1" x14ac:dyDescent="0.25">
      <c r="A33" s="2"/>
      <c r="B33" s="2"/>
      <c r="C33" s="2"/>
      <c r="D33" s="3"/>
    </row>
    <row r="34" spans="1:4" ht="16.5" customHeight="1" x14ac:dyDescent="0.25">
      <c r="A34" s="2"/>
      <c r="B34" s="2"/>
      <c r="C34" s="2"/>
      <c r="D34" s="3"/>
    </row>
    <row r="35" spans="1:4" ht="16.5" customHeight="1" x14ac:dyDescent="0.25">
      <c r="A35" s="2"/>
      <c r="B35" s="2"/>
      <c r="C35" s="2"/>
      <c r="D35" s="3"/>
    </row>
    <row r="36" spans="1:4" ht="16.5" customHeight="1" x14ac:dyDescent="0.25">
      <c r="A36" s="2"/>
      <c r="B36" s="2"/>
      <c r="C36" s="2"/>
      <c r="D36" s="3"/>
    </row>
    <row r="37" spans="1:4" ht="16.5" customHeight="1" x14ac:dyDescent="0.25">
      <c r="A37" s="2"/>
      <c r="B37" s="2"/>
      <c r="C37" s="2"/>
      <c r="D37" s="3"/>
    </row>
    <row r="38" spans="1:4" ht="16.5" customHeight="1" x14ac:dyDescent="0.25">
      <c r="A38" s="2"/>
      <c r="B38" s="2"/>
      <c r="C38" s="2"/>
      <c r="D38" s="3"/>
    </row>
    <row r="39" spans="1:4" ht="16.5" customHeight="1" x14ac:dyDescent="0.25">
      <c r="A39" s="2"/>
      <c r="B39" s="2"/>
      <c r="C39" s="2"/>
      <c r="D39" s="3"/>
    </row>
    <row r="40" spans="1:4" ht="16.5" customHeight="1" x14ac:dyDescent="0.25">
      <c r="A40" s="2"/>
      <c r="B40" s="2"/>
      <c r="C40" s="2"/>
      <c r="D40" s="3"/>
    </row>
    <row r="41" spans="1:4" ht="16.5" customHeight="1" x14ac:dyDescent="0.25">
      <c r="A41" s="2"/>
      <c r="B41" s="2"/>
      <c r="C41" s="2"/>
      <c r="D41" s="3"/>
    </row>
    <row r="42" spans="1:4" ht="16.5" customHeight="1" x14ac:dyDescent="0.25">
      <c r="A42" s="2"/>
      <c r="B42" s="2"/>
      <c r="C42" s="2"/>
      <c r="D42" s="3"/>
    </row>
    <row r="43" spans="1:4" ht="16.5" customHeight="1" x14ac:dyDescent="0.25">
      <c r="A43" s="2"/>
      <c r="B43" s="2"/>
      <c r="C43" s="2"/>
      <c r="D43" s="3"/>
    </row>
    <row r="44" spans="1:4" ht="16.5" customHeight="1" x14ac:dyDescent="0.25">
      <c r="A44" s="2"/>
      <c r="B44" s="2"/>
      <c r="C44" s="2"/>
      <c r="D44" s="3"/>
    </row>
    <row r="45" spans="1:4" ht="16.5" customHeight="1" x14ac:dyDescent="0.25">
      <c r="A45" s="2"/>
      <c r="B45" s="2"/>
      <c r="C45" s="2"/>
      <c r="D45" s="3"/>
    </row>
    <row r="46" spans="1:4" ht="16.5" customHeight="1" x14ac:dyDescent="0.25">
      <c r="A46" s="2"/>
      <c r="B46" s="2"/>
      <c r="C46" s="2"/>
      <c r="D46" s="3"/>
    </row>
    <row r="47" spans="1:4" ht="16.5" customHeight="1" x14ac:dyDescent="0.25">
      <c r="A47" s="2"/>
      <c r="B47" s="2"/>
      <c r="C47" s="2"/>
      <c r="D47" s="3"/>
    </row>
    <row r="48" spans="1:4" ht="16.5" customHeight="1" x14ac:dyDescent="0.25">
      <c r="A48" s="2"/>
      <c r="B48" s="2"/>
      <c r="C48" s="2"/>
      <c r="D48" s="3"/>
    </row>
    <row r="49" spans="1:4" ht="16.5" customHeight="1" x14ac:dyDescent="0.25">
      <c r="A49" s="2"/>
      <c r="B49" s="2"/>
      <c r="C49" s="2"/>
      <c r="D49" s="3"/>
    </row>
    <row r="50" spans="1:4" ht="16.5" customHeight="1" x14ac:dyDescent="0.25">
      <c r="A50" s="2"/>
      <c r="B50" s="2"/>
      <c r="C50" s="2"/>
      <c r="D50" s="3"/>
    </row>
    <row r="51" spans="1:4" ht="16.5" customHeight="1" x14ac:dyDescent="0.25">
      <c r="A51" s="2"/>
      <c r="B51" s="2"/>
      <c r="C51" s="2"/>
      <c r="D51" s="3"/>
    </row>
    <row r="52" spans="1:4" ht="16.5" customHeight="1" x14ac:dyDescent="0.25">
      <c r="A52" s="2"/>
      <c r="B52" s="2"/>
      <c r="C52" s="2"/>
      <c r="D52" s="3"/>
    </row>
    <row r="53" spans="1:4" ht="16.5" customHeight="1" x14ac:dyDescent="0.25">
      <c r="A53" s="2"/>
      <c r="B53" s="2"/>
      <c r="C53" s="2"/>
      <c r="D53" s="3"/>
    </row>
    <row r="54" spans="1:4" ht="16.5" customHeight="1" x14ac:dyDescent="0.25">
      <c r="A54" s="2"/>
      <c r="B54" s="2"/>
      <c r="C54" s="2"/>
      <c r="D54" s="3"/>
    </row>
    <row r="55" spans="1:4" ht="16.5" customHeight="1" x14ac:dyDescent="0.25">
      <c r="A55" s="2"/>
      <c r="B55" s="2"/>
      <c r="C55" s="2"/>
      <c r="D55" s="3"/>
    </row>
    <row r="56" spans="1:4" ht="16.5" customHeight="1" x14ac:dyDescent="0.25">
      <c r="A56" s="2"/>
      <c r="B56" s="2"/>
      <c r="C56" s="2"/>
      <c r="D56" s="3"/>
    </row>
    <row r="57" spans="1:4" ht="16.5" customHeight="1" x14ac:dyDescent="0.25">
      <c r="A57" s="2"/>
      <c r="B57" s="2"/>
      <c r="C57" s="2"/>
      <c r="D57" s="3"/>
    </row>
    <row r="58" spans="1:4" ht="16.5" customHeight="1" x14ac:dyDescent="0.25">
      <c r="A58" s="2"/>
      <c r="B58" s="2"/>
      <c r="C58" s="2"/>
      <c r="D58" s="3"/>
    </row>
    <row r="59" spans="1:4" ht="16.5" customHeight="1" x14ac:dyDescent="0.25">
      <c r="A59" s="2"/>
      <c r="B59" s="2"/>
      <c r="C59" s="2"/>
      <c r="D59" s="3"/>
    </row>
    <row r="60" spans="1:4" ht="16.5" customHeight="1" x14ac:dyDescent="0.25">
      <c r="A60" s="2"/>
      <c r="B60" s="2"/>
      <c r="C60" s="2"/>
      <c r="D60" s="3"/>
    </row>
    <row r="61" spans="1:4" ht="16.5" customHeight="1" x14ac:dyDescent="0.25">
      <c r="A61" s="2"/>
      <c r="B61" s="2"/>
      <c r="C61" s="2"/>
      <c r="D61" s="3"/>
    </row>
    <row r="62" spans="1:4" ht="16.5" customHeight="1" x14ac:dyDescent="0.25">
      <c r="A62" s="2"/>
      <c r="B62" s="2"/>
      <c r="C62" s="2"/>
      <c r="D62" s="3"/>
    </row>
    <row r="63" spans="1:4" ht="16.5" customHeight="1" x14ac:dyDescent="0.25">
      <c r="A63" s="2"/>
      <c r="B63" s="2"/>
      <c r="C63" s="2"/>
      <c r="D63" s="3"/>
    </row>
    <row r="64" spans="1:4" ht="16.5" customHeight="1" x14ac:dyDescent="0.25">
      <c r="A64" s="2"/>
      <c r="B64" s="2"/>
      <c r="C64" s="2"/>
      <c r="D64" s="3"/>
    </row>
    <row r="65" spans="1:4" ht="16.5" customHeight="1" x14ac:dyDescent="0.25">
      <c r="A65" s="2"/>
      <c r="B65" s="2"/>
      <c r="C65" s="2"/>
      <c r="D65" s="3"/>
    </row>
    <row r="66" spans="1:4" ht="16.5" customHeight="1" x14ac:dyDescent="0.25">
      <c r="A66" s="2"/>
      <c r="B66" s="2"/>
      <c r="C66" s="2"/>
      <c r="D66" s="3"/>
    </row>
    <row r="67" spans="1:4" ht="16.5" customHeight="1" x14ac:dyDescent="0.25">
      <c r="A67" s="2"/>
      <c r="B67" s="2"/>
      <c r="C67" s="2"/>
      <c r="D67" s="3"/>
    </row>
    <row r="68" spans="1:4" ht="16.5" customHeight="1" x14ac:dyDescent="0.25">
      <c r="A68" s="2"/>
      <c r="B68" s="2"/>
      <c r="C68" s="2"/>
      <c r="D68" s="3"/>
    </row>
    <row r="69" spans="1:4" ht="16.5" customHeight="1" x14ac:dyDescent="0.25">
      <c r="A69" s="2"/>
      <c r="B69" s="2"/>
      <c r="C69" s="2"/>
      <c r="D69" s="3"/>
    </row>
    <row r="70" spans="1:4" ht="16.5" customHeight="1" x14ac:dyDescent="0.25">
      <c r="A70" s="2"/>
      <c r="B70" s="2"/>
      <c r="C70" s="2"/>
      <c r="D70" s="3"/>
    </row>
    <row r="71" spans="1:4" ht="16.5" customHeight="1" x14ac:dyDescent="0.25">
      <c r="A71" s="2"/>
      <c r="B71" s="2"/>
      <c r="C71" s="2"/>
      <c r="D71" s="3"/>
    </row>
    <row r="72" spans="1:4" ht="16.5" customHeight="1" x14ac:dyDescent="0.25">
      <c r="A72" s="2"/>
      <c r="B72" s="2"/>
      <c r="C72" s="2"/>
      <c r="D72" s="3"/>
    </row>
    <row r="73" spans="1:4" ht="16.5" customHeight="1" x14ac:dyDescent="0.25">
      <c r="A73" s="2"/>
      <c r="B73" s="2"/>
      <c r="C73" s="2"/>
      <c r="D73" s="3"/>
    </row>
    <row r="74" spans="1:4" ht="16.5" customHeight="1" x14ac:dyDescent="0.25">
      <c r="A74" s="2"/>
      <c r="B74" s="2"/>
      <c r="C74" s="2"/>
      <c r="D74" s="3"/>
    </row>
    <row r="75" spans="1:4" ht="16.5" customHeight="1" x14ac:dyDescent="0.25">
      <c r="A75" s="2"/>
      <c r="B75" s="2"/>
      <c r="C75" s="2"/>
      <c r="D75" s="3"/>
    </row>
    <row r="76" spans="1:4" ht="16.5" customHeight="1" x14ac:dyDescent="0.25">
      <c r="A76" s="2"/>
      <c r="B76" s="2"/>
      <c r="C76" s="2"/>
      <c r="D76" s="3"/>
    </row>
    <row r="77" spans="1:4" ht="16.5" customHeight="1" x14ac:dyDescent="0.25">
      <c r="A77" s="2"/>
      <c r="B77" s="2"/>
      <c r="C77" s="2"/>
      <c r="D77" s="3"/>
    </row>
    <row r="78" spans="1:4" ht="16.5" customHeight="1" x14ac:dyDescent="0.25">
      <c r="A78" s="2"/>
      <c r="B78" s="2"/>
      <c r="C78" s="2"/>
      <c r="D78" s="3"/>
    </row>
    <row r="79" spans="1:4" ht="16.5" customHeight="1" x14ac:dyDescent="0.25">
      <c r="A79" s="2"/>
      <c r="B79" s="2"/>
      <c r="C79" s="2"/>
      <c r="D79" s="3"/>
    </row>
    <row r="80" spans="1:4" ht="16.5" customHeight="1" x14ac:dyDescent="0.25">
      <c r="A80" s="2"/>
      <c r="B80" s="2"/>
      <c r="C80" s="2"/>
      <c r="D80" s="3"/>
    </row>
    <row r="81" spans="1:4" ht="16.5" customHeight="1" x14ac:dyDescent="0.25">
      <c r="A81" s="2"/>
      <c r="B81" s="2"/>
      <c r="C81" s="2"/>
      <c r="D81" s="3"/>
    </row>
    <row r="82" spans="1:4" ht="16.5" customHeight="1" x14ac:dyDescent="0.25">
      <c r="A82" s="2"/>
      <c r="B82" s="2"/>
      <c r="C82" s="2"/>
      <c r="D82" s="3"/>
    </row>
    <row r="83" spans="1:4" ht="16.5" customHeight="1" x14ac:dyDescent="0.25">
      <c r="A83" s="2"/>
      <c r="B83" s="2"/>
      <c r="C83" s="2"/>
      <c r="D83" s="3"/>
    </row>
    <row r="84" spans="1:4" ht="16.5" customHeight="1" x14ac:dyDescent="0.25">
      <c r="A84" s="2"/>
      <c r="B84" s="2"/>
      <c r="C84" s="2"/>
      <c r="D84" s="3"/>
    </row>
    <row r="85" spans="1:4" ht="16.5" customHeight="1" x14ac:dyDescent="0.25">
      <c r="A85" s="2"/>
      <c r="B85" s="2"/>
      <c r="C85" s="2"/>
      <c r="D85" s="3"/>
    </row>
    <row r="86" spans="1:4" ht="16.5" customHeight="1" x14ac:dyDescent="0.25">
      <c r="A86" s="2"/>
      <c r="B86" s="2"/>
      <c r="C86" s="2"/>
      <c r="D86" s="3"/>
    </row>
    <row r="87" spans="1:4" ht="16.5" customHeight="1" x14ac:dyDescent="0.25">
      <c r="A87" s="2"/>
      <c r="B87" s="2"/>
      <c r="C87" s="2"/>
      <c r="D87" s="3"/>
    </row>
    <row r="88" spans="1:4" ht="16.5" customHeight="1" x14ac:dyDescent="0.25">
      <c r="A88" s="2"/>
      <c r="B88" s="2"/>
      <c r="C88" s="2"/>
      <c r="D88" s="3"/>
    </row>
    <row r="89" spans="1:4" ht="16.5" customHeight="1" x14ac:dyDescent="0.25">
      <c r="A89" s="2"/>
      <c r="B89" s="2"/>
      <c r="C89" s="2"/>
      <c r="D89" s="3"/>
    </row>
    <row r="90" spans="1:4" ht="16.5" customHeight="1" x14ac:dyDescent="0.25">
      <c r="A90" s="2"/>
      <c r="B90" s="2"/>
      <c r="C90" s="2"/>
      <c r="D90" s="3"/>
    </row>
    <row r="91" spans="1:4" ht="16.5" customHeight="1" x14ac:dyDescent="0.25">
      <c r="A91" s="2"/>
      <c r="B91" s="2"/>
      <c r="C91" s="2"/>
      <c r="D91" s="3"/>
    </row>
    <row r="92" spans="1:4" ht="16.5" customHeight="1" x14ac:dyDescent="0.25">
      <c r="A92" s="2"/>
      <c r="B92" s="2"/>
      <c r="C92" s="2"/>
      <c r="D92" s="3"/>
    </row>
    <row r="93" spans="1:4" ht="16.5" customHeight="1" x14ac:dyDescent="0.25">
      <c r="A93" s="2"/>
      <c r="B93" s="2"/>
      <c r="C93" s="2"/>
      <c r="D93" s="3"/>
    </row>
    <row r="94" spans="1:4" ht="16.5" customHeight="1" x14ac:dyDescent="0.25">
      <c r="A94" s="2"/>
      <c r="B94" s="2"/>
      <c r="C94" s="2"/>
      <c r="D94" s="3"/>
    </row>
    <row r="95" spans="1:4" ht="16.5" customHeight="1" x14ac:dyDescent="0.25">
      <c r="A95" s="2"/>
      <c r="B95" s="2"/>
      <c r="C95" s="2"/>
      <c r="D95" s="3"/>
    </row>
    <row r="96" spans="1:4" ht="16.5" customHeight="1" x14ac:dyDescent="0.25">
      <c r="A96" s="2"/>
      <c r="B96" s="2"/>
      <c r="C96" s="2"/>
      <c r="D96" s="3"/>
    </row>
    <row r="97" spans="1:4" ht="16.5" customHeight="1" x14ac:dyDescent="0.25">
      <c r="A97" s="2"/>
      <c r="B97" s="2"/>
      <c r="C97" s="2"/>
      <c r="D97" s="3"/>
    </row>
    <row r="98" spans="1:4" ht="16.5" customHeight="1" x14ac:dyDescent="0.25">
      <c r="A98" s="2"/>
      <c r="B98" s="2"/>
      <c r="C98" s="2"/>
      <c r="D98" s="3"/>
    </row>
    <row r="99" spans="1:4" ht="16.5" customHeight="1" x14ac:dyDescent="0.25">
      <c r="A99" s="2"/>
      <c r="B99" s="2"/>
      <c r="C99" s="2"/>
      <c r="D99" s="3"/>
    </row>
    <row r="100" spans="1:4" ht="16.5" customHeight="1" x14ac:dyDescent="0.25">
      <c r="A100" s="2"/>
      <c r="B100" s="2"/>
      <c r="C100" s="2"/>
      <c r="D100" s="3"/>
    </row>
    <row r="101" spans="1:4" ht="16.5" customHeight="1" x14ac:dyDescent="0.25">
      <c r="A101" s="2"/>
      <c r="B101" s="2"/>
      <c r="C101" s="2"/>
      <c r="D101" s="3"/>
    </row>
    <row r="102" spans="1:4" ht="16.5" customHeight="1" x14ac:dyDescent="0.25">
      <c r="A102" s="2"/>
      <c r="B102" s="2"/>
      <c r="C102" s="2"/>
      <c r="D102" s="3"/>
    </row>
    <row r="103" spans="1:4" ht="16.5" customHeight="1" x14ac:dyDescent="0.25">
      <c r="A103" s="2"/>
      <c r="B103" s="2"/>
      <c r="C103" s="2"/>
      <c r="D103" s="3"/>
    </row>
    <row r="104" spans="1:4" ht="16.5" customHeight="1" x14ac:dyDescent="0.25">
      <c r="A104" s="2"/>
      <c r="B104" s="2"/>
      <c r="C104" s="2"/>
      <c r="D104" s="3"/>
    </row>
    <row r="105" spans="1:4" ht="16.5" customHeight="1" x14ac:dyDescent="0.25">
      <c r="A105" s="2"/>
      <c r="B105" s="2"/>
      <c r="C105" s="2"/>
      <c r="D105" s="3"/>
    </row>
    <row r="106" spans="1:4" ht="16.5" customHeight="1" x14ac:dyDescent="0.25">
      <c r="A106" s="2"/>
      <c r="B106" s="2"/>
      <c r="C106" s="2"/>
      <c r="D106" s="3"/>
    </row>
    <row r="107" spans="1:4" ht="16.5" customHeight="1" x14ac:dyDescent="0.25">
      <c r="A107" s="2"/>
      <c r="B107" s="2"/>
      <c r="C107" s="2"/>
      <c r="D107" s="3"/>
    </row>
    <row r="108" spans="1:4" ht="16.5" customHeight="1" x14ac:dyDescent="0.25">
      <c r="A108" s="2"/>
      <c r="B108" s="2"/>
      <c r="C108" s="2"/>
      <c r="D108" s="3"/>
    </row>
    <row r="109" spans="1:4" ht="16.5" customHeight="1" x14ac:dyDescent="0.25">
      <c r="A109" s="2"/>
      <c r="B109" s="2"/>
      <c r="C109" s="2"/>
      <c r="D109" s="3"/>
    </row>
    <row r="110" spans="1:4" ht="16.5" customHeight="1" x14ac:dyDescent="0.25">
      <c r="A110" s="2"/>
      <c r="B110" s="2"/>
      <c r="C110" s="2"/>
      <c r="D110" s="3"/>
    </row>
    <row r="111" spans="1:4" ht="16.5" customHeight="1" x14ac:dyDescent="0.25">
      <c r="A111" s="2"/>
      <c r="B111" s="2"/>
      <c r="C111" s="2"/>
      <c r="D111" s="3"/>
    </row>
    <row r="112" spans="1:4" ht="16.5" customHeight="1" x14ac:dyDescent="0.25">
      <c r="A112" s="2"/>
      <c r="B112" s="2"/>
      <c r="C112" s="2"/>
      <c r="D112" s="3"/>
    </row>
    <row r="113" spans="1:4" ht="16.5" customHeight="1" x14ac:dyDescent="0.25">
      <c r="A113" s="2"/>
      <c r="B113" s="2"/>
      <c r="C113" s="2"/>
      <c r="D113" s="3"/>
    </row>
    <row r="114" spans="1:4" ht="16.5" customHeight="1" x14ac:dyDescent="0.25">
      <c r="A114" s="2"/>
      <c r="B114" s="2"/>
      <c r="C114" s="2"/>
      <c r="D114" s="3"/>
    </row>
    <row r="115" spans="1:4" ht="16.5" customHeight="1" x14ac:dyDescent="0.25">
      <c r="A115" s="2"/>
      <c r="B115" s="2"/>
      <c r="C115" s="2"/>
      <c r="D115" s="3"/>
    </row>
    <row r="116" spans="1:4" ht="16.5" customHeight="1" x14ac:dyDescent="0.25">
      <c r="A116" s="2"/>
      <c r="B116" s="2"/>
      <c r="C116" s="2"/>
      <c r="D116" s="3"/>
    </row>
    <row r="117" spans="1:4" ht="16.5" customHeight="1" x14ac:dyDescent="0.25">
      <c r="A117" s="2"/>
      <c r="B117" s="2"/>
      <c r="C117" s="2"/>
      <c r="D117" s="3"/>
    </row>
    <row r="118" spans="1:4" ht="16.5" customHeight="1" x14ac:dyDescent="0.25">
      <c r="A118" s="2"/>
      <c r="B118" s="2"/>
      <c r="C118" s="2"/>
      <c r="D118" s="3"/>
    </row>
    <row r="119" spans="1:4" ht="16.5" customHeight="1" x14ac:dyDescent="0.25">
      <c r="A119" s="2"/>
      <c r="B119" s="2"/>
      <c r="C119" s="2"/>
      <c r="D119" s="3"/>
    </row>
    <row r="120" spans="1:4" ht="16.5" customHeight="1" x14ac:dyDescent="0.25">
      <c r="A120" s="2"/>
      <c r="B120" s="2"/>
      <c r="C120" s="2"/>
      <c r="D120" s="3"/>
    </row>
    <row r="121" spans="1:4" ht="16.5" customHeight="1" x14ac:dyDescent="0.25">
      <c r="A121" s="2"/>
      <c r="B121" s="2"/>
      <c r="C121" s="2"/>
      <c r="D121" s="3"/>
    </row>
    <row r="122" spans="1:4" ht="16.5" customHeight="1" x14ac:dyDescent="0.25">
      <c r="A122" s="2"/>
      <c r="B122" s="2"/>
      <c r="C122" s="2"/>
      <c r="D122" s="3"/>
    </row>
    <row r="123" spans="1:4" ht="16.5" customHeight="1" x14ac:dyDescent="0.25">
      <c r="A123" s="2"/>
      <c r="B123" s="2"/>
      <c r="C123" s="2"/>
      <c r="D123" s="3"/>
    </row>
    <row r="124" spans="1:4" ht="16.5" customHeight="1" x14ac:dyDescent="0.25">
      <c r="A124" s="2"/>
      <c r="B124" s="2"/>
      <c r="C124" s="2"/>
      <c r="D124" s="3"/>
    </row>
    <row r="125" spans="1:4" ht="16.5" customHeight="1" x14ac:dyDescent="0.25">
      <c r="A125" s="2"/>
      <c r="B125" s="2"/>
      <c r="C125" s="2"/>
      <c r="D125" s="3"/>
    </row>
    <row r="126" spans="1:4" ht="16.5" customHeight="1" x14ac:dyDescent="0.25">
      <c r="A126" s="2"/>
      <c r="B126" s="2"/>
      <c r="C126" s="2"/>
      <c r="D126" s="3"/>
    </row>
    <row r="127" spans="1:4" ht="16.5" customHeight="1" x14ac:dyDescent="0.25">
      <c r="A127" s="2"/>
      <c r="B127" s="2"/>
      <c r="C127" s="2"/>
      <c r="D127" s="3"/>
    </row>
    <row r="128" spans="1:4" ht="16.5" customHeight="1" x14ac:dyDescent="0.25">
      <c r="A128" s="2"/>
      <c r="B128" s="2"/>
      <c r="C128" s="2"/>
      <c r="D128" s="3"/>
    </row>
    <row r="129" spans="1:4" ht="16.5" customHeight="1" x14ac:dyDescent="0.25">
      <c r="A129" s="2"/>
      <c r="B129" s="2"/>
      <c r="C129" s="2"/>
      <c r="D129" s="3"/>
    </row>
    <row r="130" spans="1:4" ht="16.5" customHeight="1" x14ac:dyDescent="0.25">
      <c r="A130" s="2"/>
      <c r="B130" s="2"/>
      <c r="C130" s="2"/>
      <c r="D130" s="3"/>
    </row>
    <row r="131" spans="1:4" ht="16.5" customHeight="1" x14ac:dyDescent="0.25">
      <c r="A131" s="2"/>
      <c r="B131" s="2"/>
      <c r="C131" s="2"/>
      <c r="D131" s="3"/>
    </row>
    <row r="132" spans="1:4" ht="16.5" customHeight="1" x14ac:dyDescent="0.25">
      <c r="A132" s="2"/>
      <c r="B132" s="2"/>
      <c r="C132" s="2"/>
      <c r="D132" s="3"/>
    </row>
    <row r="133" spans="1:4" ht="16.5" customHeight="1" x14ac:dyDescent="0.25">
      <c r="A133" s="2"/>
      <c r="B133" s="2"/>
      <c r="C133" s="2"/>
      <c r="D133" s="3"/>
    </row>
    <row r="134" spans="1:4" ht="16.5" customHeight="1" x14ac:dyDescent="0.25">
      <c r="A134" s="2"/>
      <c r="B134" s="2"/>
      <c r="C134" s="2"/>
      <c r="D134" s="3"/>
    </row>
    <row r="135" spans="1:4" ht="16.5" customHeight="1" x14ac:dyDescent="0.25">
      <c r="A135" s="2"/>
      <c r="B135" s="2"/>
      <c r="C135" s="2"/>
      <c r="D135" s="3"/>
    </row>
    <row r="136" spans="1:4" ht="16.5" customHeight="1" x14ac:dyDescent="0.25">
      <c r="A136" s="2"/>
      <c r="B136" s="2"/>
      <c r="C136" s="2"/>
      <c r="D136" s="3"/>
    </row>
    <row r="137" spans="1:4" ht="16.5" customHeight="1" x14ac:dyDescent="0.25">
      <c r="A137" s="2"/>
      <c r="B137" s="2"/>
      <c r="C137" s="2"/>
      <c r="D137" s="3"/>
    </row>
    <row r="138" spans="1:4" ht="16.5" customHeight="1" x14ac:dyDescent="0.25">
      <c r="A138" s="2"/>
      <c r="B138" s="2"/>
      <c r="C138" s="2"/>
      <c r="D138" s="3"/>
    </row>
    <row r="139" spans="1:4" ht="16.5" customHeight="1" x14ac:dyDescent="0.25">
      <c r="A139" s="2"/>
      <c r="B139" s="2"/>
      <c r="C139" s="2"/>
      <c r="D139" s="3"/>
    </row>
    <row r="140" spans="1:4" ht="16.5" customHeight="1" x14ac:dyDescent="0.25">
      <c r="A140" s="2"/>
      <c r="B140" s="2"/>
      <c r="C140" s="2"/>
      <c r="D140" s="3"/>
    </row>
    <row r="141" spans="1:4" ht="16.5" customHeight="1" x14ac:dyDescent="0.25">
      <c r="A141" s="2"/>
      <c r="B141" s="2"/>
      <c r="C141" s="2"/>
      <c r="D141" s="3"/>
    </row>
    <row r="142" spans="1:4" ht="16.5" customHeight="1" x14ac:dyDescent="0.25">
      <c r="A142" s="2"/>
      <c r="B142" s="2"/>
      <c r="C142" s="2"/>
      <c r="D142" s="3"/>
    </row>
    <row r="143" spans="1:4" ht="16.5" customHeight="1" x14ac:dyDescent="0.25">
      <c r="A143" s="2"/>
      <c r="B143" s="2"/>
      <c r="C143" s="2"/>
      <c r="D143" s="3"/>
    </row>
    <row r="144" spans="1:4" ht="16.5" customHeight="1" x14ac:dyDescent="0.25">
      <c r="A144" s="2"/>
      <c r="B144" s="2"/>
      <c r="C144" s="2"/>
      <c r="D144" s="3"/>
    </row>
    <row r="145" spans="1:4" ht="16.5" customHeight="1" x14ac:dyDescent="0.25">
      <c r="A145" s="2"/>
      <c r="B145" s="2"/>
      <c r="C145" s="2"/>
      <c r="D145" s="3"/>
    </row>
    <row r="146" spans="1:4" ht="16.5" customHeight="1" x14ac:dyDescent="0.25">
      <c r="A146" s="2"/>
      <c r="B146" s="2"/>
      <c r="C146" s="2"/>
      <c r="D146" s="3"/>
    </row>
    <row r="147" spans="1:4" ht="16.5" customHeight="1" x14ac:dyDescent="0.25">
      <c r="A147" s="2"/>
      <c r="B147" s="2"/>
      <c r="C147" s="2"/>
      <c r="D147" s="3"/>
    </row>
    <row r="148" spans="1:4" ht="16.5" customHeight="1" x14ac:dyDescent="0.25">
      <c r="A148" s="2"/>
      <c r="B148" s="2"/>
      <c r="C148" s="2"/>
      <c r="D148" s="3"/>
    </row>
    <row r="149" spans="1:4" ht="16.5" customHeight="1" x14ac:dyDescent="0.25">
      <c r="A149" s="2"/>
      <c r="B149" s="2"/>
      <c r="C149" s="2"/>
      <c r="D149" s="3"/>
    </row>
    <row r="150" spans="1:4" ht="16.5" customHeight="1" x14ac:dyDescent="0.25">
      <c r="A150" s="2"/>
      <c r="B150" s="2"/>
      <c r="C150" s="2"/>
      <c r="D150" s="3"/>
    </row>
    <row r="151" spans="1:4" ht="16.5" customHeight="1" x14ac:dyDescent="0.25">
      <c r="A151" s="2"/>
      <c r="B151" s="2"/>
      <c r="C151" s="2"/>
      <c r="D151" s="3"/>
    </row>
    <row r="152" spans="1:4" ht="16.5" customHeight="1" x14ac:dyDescent="0.25">
      <c r="A152" s="2"/>
      <c r="B152" s="2"/>
      <c r="C152" s="2"/>
      <c r="D152" s="3"/>
    </row>
    <row r="153" spans="1:4" ht="16.5" customHeight="1" x14ac:dyDescent="0.25">
      <c r="A153" s="2"/>
      <c r="B153" s="2"/>
      <c r="C153" s="2"/>
      <c r="D153" s="3"/>
    </row>
    <row r="154" spans="1:4" ht="16.5" customHeight="1" x14ac:dyDescent="0.25">
      <c r="A154" s="2"/>
      <c r="B154" s="2"/>
      <c r="C154" s="2"/>
      <c r="D154" s="3"/>
    </row>
    <row r="155" spans="1:4" ht="16.5" customHeight="1" x14ac:dyDescent="0.25">
      <c r="A155" s="2"/>
      <c r="B155" s="2"/>
      <c r="C155" s="2"/>
      <c r="D155" s="3"/>
    </row>
    <row r="156" spans="1:4" ht="16.5" customHeight="1" x14ac:dyDescent="0.25">
      <c r="A156" s="2"/>
      <c r="B156" s="2"/>
      <c r="C156" s="2"/>
      <c r="D156" s="3"/>
    </row>
    <row r="157" spans="1:4" ht="16.5" customHeight="1" x14ac:dyDescent="0.25">
      <c r="A157" s="2"/>
      <c r="B157" s="2"/>
      <c r="C157" s="2"/>
      <c r="D157" s="3"/>
    </row>
    <row r="158" spans="1:4" ht="16.5" customHeight="1" x14ac:dyDescent="0.25">
      <c r="A158" s="2"/>
      <c r="B158" s="2"/>
      <c r="C158" s="2"/>
      <c r="D158" s="3"/>
    </row>
    <row r="159" spans="1:4" ht="16.5" customHeight="1" x14ac:dyDescent="0.25">
      <c r="A159" s="2"/>
      <c r="B159" s="2"/>
      <c r="C159" s="2"/>
      <c r="D159" s="3"/>
    </row>
    <row r="160" spans="1:4" ht="16.5" customHeight="1" x14ac:dyDescent="0.25">
      <c r="A160" s="2"/>
      <c r="B160" s="2"/>
      <c r="C160" s="2"/>
      <c r="D160" s="3"/>
    </row>
    <row r="161" spans="1:4" ht="16.5" customHeight="1" x14ac:dyDescent="0.25">
      <c r="A161" s="2"/>
      <c r="B161" s="2"/>
      <c r="C161" s="2"/>
      <c r="D161" s="3"/>
    </row>
    <row r="162" spans="1:4" ht="16.5" customHeight="1" x14ac:dyDescent="0.25">
      <c r="A162" s="2"/>
      <c r="B162" s="2"/>
      <c r="C162" s="2"/>
      <c r="D162" s="3"/>
    </row>
    <row r="163" spans="1:4" ht="16.5" customHeight="1" x14ac:dyDescent="0.25">
      <c r="A163" s="2"/>
      <c r="B163" s="2"/>
      <c r="C163" s="2"/>
      <c r="D163" s="3"/>
    </row>
    <row r="164" spans="1:4" ht="16.5" customHeight="1" x14ac:dyDescent="0.25">
      <c r="A164" s="2"/>
      <c r="B164" s="2"/>
      <c r="C164" s="2"/>
      <c r="D164" s="3"/>
    </row>
    <row r="165" spans="1:4" ht="16.5" customHeight="1" x14ac:dyDescent="0.25">
      <c r="A165" s="2"/>
      <c r="B165" s="2"/>
      <c r="C165" s="2"/>
      <c r="D165" s="3"/>
    </row>
    <row r="166" spans="1:4" ht="16.5" customHeight="1" x14ac:dyDescent="0.25">
      <c r="A166" s="2"/>
      <c r="B166" s="2"/>
      <c r="C166" s="2"/>
      <c r="D166" s="3"/>
    </row>
    <row r="167" spans="1:4" ht="16.5" customHeight="1" x14ac:dyDescent="0.25">
      <c r="A167" s="2"/>
      <c r="B167" s="2"/>
      <c r="C167" s="2"/>
      <c r="D167" s="3"/>
    </row>
    <row r="168" spans="1:4" ht="16.5" customHeight="1" x14ac:dyDescent="0.25">
      <c r="A168" s="2"/>
      <c r="B168" s="2"/>
      <c r="C168" s="2"/>
      <c r="D168" s="3"/>
    </row>
    <row r="169" spans="1:4" ht="16.5" customHeight="1" x14ac:dyDescent="0.25">
      <c r="A169" s="2"/>
      <c r="B169" s="2"/>
      <c r="C169" s="2"/>
      <c r="D169" s="3"/>
    </row>
    <row r="170" spans="1:4" ht="16.5" customHeight="1" x14ac:dyDescent="0.25">
      <c r="A170" s="2"/>
      <c r="B170" s="2"/>
      <c r="C170" s="2"/>
      <c r="D170" s="3"/>
    </row>
    <row r="171" spans="1:4" ht="16.5" customHeight="1" x14ac:dyDescent="0.25">
      <c r="A171" s="2"/>
      <c r="B171" s="2"/>
      <c r="C171" s="2"/>
      <c r="D171" s="3"/>
    </row>
    <row r="172" spans="1:4" ht="16.5" customHeight="1" x14ac:dyDescent="0.25">
      <c r="A172" s="2"/>
      <c r="B172" s="2"/>
      <c r="C172" s="2"/>
      <c r="D172" s="3"/>
    </row>
    <row r="173" spans="1:4" ht="16.5" customHeight="1" x14ac:dyDescent="0.25">
      <c r="A173" s="2"/>
      <c r="B173" s="2"/>
      <c r="C173" s="2"/>
      <c r="D173" s="3"/>
    </row>
    <row r="174" spans="1:4" ht="16.5" customHeight="1" x14ac:dyDescent="0.25">
      <c r="A174" s="2"/>
      <c r="B174" s="2"/>
      <c r="C174" s="2"/>
      <c r="D174" s="3"/>
    </row>
    <row r="175" spans="1:4" ht="16.5" customHeight="1" x14ac:dyDescent="0.25">
      <c r="A175" s="2"/>
      <c r="B175" s="2"/>
      <c r="C175" s="2"/>
      <c r="D175" s="3"/>
    </row>
    <row r="176" spans="1:4" ht="16.5" customHeight="1" x14ac:dyDescent="0.25">
      <c r="A176" s="2"/>
      <c r="B176" s="2"/>
      <c r="C176" s="2"/>
      <c r="D176" s="3"/>
    </row>
    <row r="177" spans="1:4" ht="16.5" customHeight="1" x14ac:dyDescent="0.25">
      <c r="A177" s="2"/>
      <c r="B177" s="2"/>
      <c r="C177" s="2"/>
      <c r="D177" s="3"/>
    </row>
    <row r="178" spans="1:4" ht="16.5" customHeight="1" x14ac:dyDescent="0.25">
      <c r="A178" s="2"/>
      <c r="B178" s="2"/>
      <c r="C178" s="2"/>
      <c r="D178" s="3"/>
    </row>
    <row r="179" spans="1:4" ht="16.5" customHeight="1" x14ac:dyDescent="0.25">
      <c r="A179" s="2"/>
      <c r="B179" s="2"/>
      <c r="C179" s="2"/>
      <c r="D179" s="3"/>
    </row>
    <row r="180" spans="1:4" ht="16.5" customHeight="1" x14ac:dyDescent="0.25">
      <c r="A180" s="2"/>
      <c r="B180" s="2"/>
      <c r="C180" s="2"/>
      <c r="D180" s="3"/>
    </row>
    <row r="181" spans="1:4" ht="16.5" customHeight="1" x14ac:dyDescent="0.25">
      <c r="A181" s="2"/>
      <c r="B181" s="2"/>
      <c r="C181" s="2"/>
      <c r="D181" s="3"/>
    </row>
    <row r="182" spans="1:4" ht="16.5" customHeight="1" x14ac:dyDescent="0.25">
      <c r="A182" s="2"/>
      <c r="B182" s="2"/>
      <c r="C182" s="2"/>
      <c r="D182" s="3"/>
    </row>
    <row r="183" spans="1:4" ht="16.5" customHeight="1" x14ac:dyDescent="0.25">
      <c r="A183" s="2"/>
      <c r="B183" s="2"/>
      <c r="C183" s="2"/>
      <c r="D183" s="3"/>
    </row>
    <row r="184" spans="1:4" ht="16.5" customHeight="1" x14ac:dyDescent="0.25">
      <c r="A184" s="2"/>
      <c r="B184" s="2"/>
      <c r="C184" s="2"/>
      <c r="D184" s="3"/>
    </row>
    <row r="185" spans="1:4" ht="16.5" customHeight="1" x14ac:dyDescent="0.25">
      <c r="A185" s="2"/>
      <c r="B185" s="2"/>
      <c r="C185" s="2"/>
      <c r="D185" s="3"/>
    </row>
    <row r="186" spans="1:4" ht="16.5" customHeight="1" x14ac:dyDescent="0.25">
      <c r="A186" s="2"/>
      <c r="B186" s="2"/>
      <c r="C186" s="2"/>
      <c r="D186" s="3"/>
    </row>
    <row r="187" spans="1:4" ht="16.5" customHeight="1" x14ac:dyDescent="0.25">
      <c r="A187" s="2"/>
      <c r="B187" s="2"/>
      <c r="C187" s="2"/>
      <c r="D187" s="3"/>
    </row>
    <row r="188" spans="1:4" ht="16.5" customHeight="1" x14ac:dyDescent="0.25">
      <c r="A188" s="2"/>
      <c r="B188" s="2"/>
      <c r="C188" s="2"/>
      <c r="D188" s="3"/>
    </row>
    <row r="189" spans="1:4" ht="16.5" customHeight="1" x14ac:dyDescent="0.25">
      <c r="A189" s="2"/>
      <c r="B189" s="2"/>
      <c r="C189" s="2"/>
      <c r="D189" s="3"/>
    </row>
    <row r="190" spans="1:4" ht="16.5" customHeight="1" x14ac:dyDescent="0.25">
      <c r="A190" s="2"/>
      <c r="B190" s="2"/>
      <c r="C190" s="2"/>
      <c r="D190" s="3"/>
    </row>
    <row r="191" spans="1:4" ht="16.5" customHeight="1" x14ac:dyDescent="0.25">
      <c r="A191" s="2"/>
      <c r="B191" s="2"/>
      <c r="C191" s="2"/>
      <c r="D191" s="3"/>
    </row>
    <row r="192" spans="1:4" ht="16.5" customHeight="1" x14ac:dyDescent="0.25">
      <c r="A192" s="2"/>
      <c r="B192" s="2"/>
      <c r="C192" s="2"/>
      <c r="D192" s="3"/>
    </row>
    <row r="193" spans="1:4" ht="16.5" customHeight="1" x14ac:dyDescent="0.25">
      <c r="A193" s="2"/>
      <c r="B193" s="2"/>
      <c r="C193" s="2"/>
      <c r="D193" s="3"/>
    </row>
    <row r="194" spans="1:4" ht="16.5" customHeight="1" x14ac:dyDescent="0.25">
      <c r="A194" s="2"/>
      <c r="B194" s="2"/>
      <c r="C194" s="2"/>
      <c r="D194" s="3"/>
    </row>
    <row r="195" spans="1:4" ht="16.5" customHeight="1" x14ac:dyDescent="0.25">
      <c r="A195" s="2"/>
      <c r="B195" s="2"/>
      <c r="C195" s="2"/>
      <c r="D195" s="3"/>
    </row>
    <row r="196" spans="1:4" ht="16.5" customHeight="1" x14ac:dyDescent="0.25">
      <c r="A196" s="2"/>
      <c r="B196" s="2"/>
      <c r="C196" s="2"/>
      <c r="D196" s="3"/>
    </row>
    <row r="197" spans="1:4" ht="16.5" customHeight="1" x14ac:dyDescent="0.25">
      <c r="A197" s="2"/>
      <c r="B197" s="2"/>
      <c r="C197" s="2"/>
      <c r="D197" s="3"/>
    </row>
    <row r="198" spans="1:4" ht="16.5" customHeight="1" x14ac:dyDescent="0.25">
      <c r="A198" s="2"/>
      <c r="B198" s="2"/>
      <c r="C198" s="2"/>
      <c r="D198" s="3"/>
    </row>
    <row r="199" spans="1:4" ht="16.5" customHeight="1" x14ac:dyDescent="0.25">
      <c r="A199" s="2"/>
      <c r="B199" s="2"/>
      <c r="C199" s="2"/>
      <c r="D199" s="3"/>
    </row>
    <row r="200" spans="1:4" ht="16.5" customHeight="1" x14ac:dyDescent="0.25">
      <c r="A200" s="2"/>
      <c r="B200" s="2"/>
      <c r="C200" s="2"/>
      <c r="D200" s="3"/>
    </row>
    <row r="201" spans="1:4" ht="16.5" customHeight="1" x14ac:dyDescent="0.25">
      <c r="A201" s="2"/>
      <c r="B201" s="2"/>
      <c r="C201" s="2"/>
      <c r="D201" s="3"/>
    </row>
    <row r="202" spans="1:4" ht="16.5" customHeight="1" x14ac:dyDescent="0.25">
      <c r="A202" s="2"/>
      <c r="B202" s="2"/>
      <c r="C202" s="2"/>
      <c r="D202" s="3"/>
    </row>
    <row r="203" spans="1:4" ht="16.5" customHeight="1" x14ac:dyDescent="0.25">
      <c r="A203" s="2"/>
      <c r="B203" s="2"/>
      <c r="C203" s="2"/>
      <c r="D203" s="3"/>
    </row>
    <row r="204" spans="1:4" ht="16.5" customHeight="1" x14ac:dyDescent="0.25">
      <c r="A204" s="2"/>
      <c r="B204" s="2"/>
      <c r="C204" s="2"/>
      <c r="D204" s="3"/>
    </row>
    <row r="205" spans="1:4" ht="16.5" customHeight="1" x14ac:dyDescent="0.25">
      <c r="A205" s="2"/>
      <c r="B205" s="2"/>
      <c r="C205" s="2"/>
      <c r="D205" s="3"/>
    </row>
    <row r="206" spans="1:4" ht="16.5" customHeight="1" x14ac:dyDescent="0.25">
      <c r="A206" s="2"/>
      <c r="B206" s="2"/>
      <c r="C206" s="2"/>
      <c r="D206" s="3"/>
    </row>
    <row r="207" spans="1:4" ht="16.5" customHeight="1" x14ac:dyDescent="0.25">
      <c r="A207" s="2"/>
      <c r="B207" s="2"/>
      <c r="C207" s="2"/>
      <c r="D207" s="3"/>
    </row>
    <row r="208" spans="1:4" ht="16.5" customHeight="1" x14ac:dyDescent="0.25">
      <c r="A208" s="2"/>
      <c r="B208" s="2"/>
      <c r="C208" s="2"/>
      <c r="D208" s="3"/>
    </row>
    <row r="209" spans="1:4" ht="14.25" customHeight="1" x14ac:dyDescent="0.25">
      <c r="A209" s="1"/>
      <c r="B209" s="1"/>
      <c r="C209" s="1"/>
      <c r="D209" s="1"/>
    </row>
    <row r="210" spans="1:4" ht="14.25" customHeight="1" x14ac:dyDescent="0.25">
      <c r="A210" s="1"/>
      <c r="B210" s="1"/>
      <c r="C210" s="1"/>
      <c r="D210" s="1"/>
    </row>
    <row r="211" spans="1:4" ht="14.25" customHeight="1" x14ac:dyDescent="0.25">
      <c r="A211" s="1"/>
      <c r="B211" s="1"/>
      <c r="C211" s="1"/>
      <c r="D211" s="1"/>
    </row>
    <row r="212" spans="1:4" ht="14.25" customHeight="1" x14ac:dyDescent="0.25">
      <c r="A212" s="1"/>
      <c r="B212" s="1"/>
      <c r="C212" s="1"/>
      <c r="D212" s="1"/>
    </row>
    <row r="213" spans="1:4" ht="14.25" customHeight="1" x14ac:dyDescent="0.25">
      <c r="A213" s="1"/>
      <c r="B213" s="1"/>
      <c r="C213" s="1"/>
      <c r="D213" s="1"/>
    </row>
    <row r="214" spans="1:4" ht="14.25" customHeight="1" x14ac:dyDescent="0.25">
      <c r="A214" s="1"/>
      <c r="B214" s="1"/>
      <c r="C214" s="1"/>
      <c r="D214" s="1"/>
    </row>
  </sheetData>
  <mergeCells count="1">
    <mergeCell ref="A1:D2"/>
  </mergeCells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9E04-7608-425D-897C-F1F45A7BCC7D}">
  <dimension ref="A1:Q27"/>
  <sheetViews>
    <sheetView workbookViewId="0">
      <selection activeCell="I27" sqref="I27"/>
    </sheetView>
  </sheetViews>
  <sheetFormatPr defaultRowHeight="15.75" x14ac:dyDescent="0.25"/>
  <cols>
    <col min="2" max="2" width="28" customWidth="1"/>
    <col min="3" max="5" width="20.625" customWidth="1"/>
    <col min="10" max="10" width="9.125" bestFit="1" customWidth="1"/>
    <col min="11" max="11" width="15" bestFit="1" customWidth="1"/>
    <col min="12" max="12" width="12.375" bestFit="1" customWidth="1"/>
    <col min="16" max="16" width="11.375" bestFit="1" customWidth="1"/>
  </cols>
  <sheetData>
    <row r="1" spans="1:17" ht="31.5" customHeight="1" x14ac:dyDescent="0.25">
      <c r="A1" s="32" t="s">
        <v>25</v>
      </c>
      <c r="B1" s="32"/>
      <c r="C1" s="32"/>
      <c r="D1" s="32"/>
      <c r="E1" s="32"/>
    </row>
    <row r="6" spans="1:17" ht="31.5" x14ac:dyDescent="0.25">
      <c r="A6" s="4" t="s">
        <v>21</v>
      </c>
      <c r="B6" s="17" t="s">
        <v>20</v>
      </c>
      <c r="C6" s="8" t="s">
        <v>1</v>
      </c>
      <c r="D6" s="8" t="s">
        <v>2</v>
      </c>
      <c r="E6" s="8" t="s">
        <v>3</v>
      </c>
    </row>
    <row r="7" spans="1:17" ht="16.5" x14ac:dyDescent="0.25">
      <c r="A7" s="31" t="s">
        <v>22</v>
      </c>
      <c r="B7" s="15" t="s">
        <v>7</v>
      </c>
      <c r="C7" s="18">
        <v>71230</v>
      </c>
      <c r="D7" s="18">
        <v>45249917876</v>
      </c>
      <c r="E7" s="19">
        <v>118935532</v>
      </c>
      <c r="H7" s="21"/>
      <c r="J7" s="21"/>
      <c r="K7" s="21"/>
      <c r="L7" s="21"/>
      <c r="N7" s="24"/>
      <c r="O7" s="24"/>
      <c r="P7" s="24"/>
      <c r="Q7" s="24"/>
    </row>
    <row r="8" spans="1:17" s="22" customFormat="1" ht="16.5" x14ac:dyDescent="0.25">
      <c r="A8" s="31"/>
      <c r="B8" s="25" t="s">
        <v>12</v>
      </c>
      <c r="C8" s="26">
        <v>77430</v>
      </c>
      <c r="D8" s="26">
        <v>51347460818</v>
      </c>
      <c r="E8" s="27">
        <v>130576331</v>
      </c>
      <c r="H8" s="23"/>
      <c r="J8" s="23"/>
      <c r="K8" s="23"/>
      <c r="L8" s="23"/>
      <c r="N8" s="24"/>
      <c r="O8" s="24"/>
      <c r="P8" s="24"/>
      <c r="Q8" s="24"/>
    </row>
    <row r="9" spans="1:17" ht="16.5" x14ac:dyDescent="0.25">
      <c r="A9" s="31"/>
      <c r="B9" s="25" t="s">
        <v>13</v>
      </c>
      <c r="C9" s="26">
        <v>80577</v>
      </c>
      <c r="D9" s="26">
        <v>50624979154</v>
      </c>
      <c r="E9" s="27">
        <v>135162579</v>
      </c>
      <c r="H9" s="21"/>
      <c r="J9" s="21"/>
      <c r="K9" s="21"/>
      <c r="L9" s="21"/>
      <c r="N9" s="24"/>
      <c r="O9" s="24"/>
      <c r="P9" s="24"/>
      <c r="Q9" s="24"/>
    </row>
    <row r="10" spans="1:17" s="22" customFormat="1" ht="16.5" x14ac:dyDescent="0.25">
      <c r="A10" s="31"/>
      <c r="B10" s="25" t="s">
        <v>14</v>
      </c>
      <c r="C10" s="26">
        <v>78390</v>
      </c>
      <c r="D10" s="26">
        <v>47002724882</v>
      </c>
      <c r="E10" s="27">
        <v>131070439</v>
      </c>
      <c r="H10" s="23"/>
      <c r="J10" s="23"/>
      <c r="K10" s="23"/>
      <c r="L10" s="23"/>
      <c r="N10" s="24"/>
      <c r="O10" s="24"/>
      <c r="P10" s="24"/>
      <c r="Q10" s="24"/>
    </row>
    <row r="11" spans="1:17" ht="16.5" x14ac:dyDescent="0.25">
      <c r="A11" s="31"/>
      <c r="B11" s="15" t="s">
        <v>15</v>
      </c>
      <c r="C11" s="18">
        <v>79510</v>
      </c>
      <c r="D11" s="18">
        <v>55931122834</v>
      </c>
      <c r="E11" s="19">
        <v>133106717</v>
      </c>
      <c r="H11" s="21"/>
      <c r="J11" s="21"/>
      <c r="K11" s="21"/>
      <c r="L11" s="21"/>
      <c r="N11" s="24"/>
      <c r="O11" s="24"/>
      <c r="P11" s="24"/>
      <c r="Q11" s="24"/>
    </row>
    <row r="12" spans="1:17" ht="16.5" x14ac:dyDescent="0.25">
      <c r="A12" s="31"/>
      <c r="B12" s="15" t="s">
        <v>16</v>
      </c>
      <c r="C12" s="18">
        <v>80827</v>
      </c>
      <c r="D12" s="18">
        <v>59123347341</v>
      </c>
      <c r="E12" s="19">
        <v>138071300</v>
      </c>
      <c r="H12" s="21"/>
      <c r="J12" s="21"/>
      <c r="K12" s="21"/>
      <c r="L12" s="21"/>
      <c r="N12" s="24"/>
      <c r="O12" s="24"/>
      <c r="P12" s="24"/>
      <c r="Q12" s="24"/>
    </row>
    <row r="13" spans="1:17" s="20" customFormat="1" x14ac:dyDescent="0.25">
      <c r="A13" s="31"/>
      <c r="B13" s="13" t="s">
        <v>11</v>
      </c>
      <c r="C13" s="16">
        <f>SUM(C7:C12)</f>
        <v>467964</v>
      </c>
      <c r="D13" s="16">
        <f t="shared" ref="D13:E13" si="0">SUM(D7:D12)</f>
        <v>309279552905</v>
      </c>
      <c r="E13" s="16">
        <f t="shared" si="0"/>
        <v>786922898</v>
      </c>
      <c r="H13" s="21"/>
    </row>
    <row r="14" spans="1:17" ht="16.5" x14ac:dyDescent="0.25">
      <c r="A14" s="31" t="s">
        <v>23</v>
      </c>
      <c r="B14" s="15" t="s">
        <v>7</v>
      </c>
      <c r="C14" s="18">
        <v>34602</v>
      </c>
      <c r="D14" s="18">
        <v>36778177579</v>
      </c>
      <c r="E14" s="19">
        <v>59863824</v>
      </c>
      <c r="H14" s="21"/>
    </row>
    <row r="15" spans="1:17" ht="16.5" x14ac:dyDescent="0.25">
      <c r="A15" s="31"/>
      <c r="B15" s="15" t="s">
        <v>12</v>
      </c>
      <c r="C15" s="18">
        <v>34659</v>
      </c>
      <c r="D15" s="18">
        <v>33815195220</v>
      </c>
      <c r="E15" s="19">
        <v>59935082</v>
      </c>
      <c r="H15" s="21"/>
    </row>
    <row r="16" spans="1:17" ht="16.5" x14ac:dyDescent="0.25">
      <c r="A16" s="31"/>
      <c r="B16" s="15" t="s">
        <v>13</v>
      </c>
      <c r="C16" s="18">
        <v>34673</v>
      </c>
      <c r="D16" s="18">
        <v>33824800246</v>
      </c>
      <c r="E16" s="19">
        <v>60067257</v>
      </c>
      <c r="H16" s="21"/>
    </row>
    <row r="17" spans="1:8" ht="16.5" x14ac:dyDescent="0.25">
      <c r="A17" s="31"/>
      <c r="B17" s="15" t="s">
        <v>14</v>
      </c>
      <c r="C17" s="18">
        <v>34736</v>
      </c>
      <c r="D17" s="18">
        <v>40021576627</v>
      </c>
      <c r="E17" s="19">
        <v>60193125</v>
      </c>
      <c r="H17" s="21"/>
    </row>
    <row r="18" spans="1:8" ht="16.5" x14ac:dyDescent="0.25">
      <c r="A18" s="31"/>
      <c r="B18" s="15" t="s">
        <v>15</v>
      </c>
      <c r="C18" s="18">
        <v>34843</v>
      </c>
      <c r="D18" s="18">
        <v>43097202637</v>
      </c>
      <c r="E18" s="19">
        <v>60169106</v>
      </c>
      <c r="H18" s="21"/>
    </row>
    <row r="19" spans="1:8" ht="16.5" x14ac:dyDescent="0.25">
      <c r="A19" s="31"/>
      <c r="B19" s="15" t="s">
        <v>16</v>
      </c>
      <c r="C19" s="18">
        <v>34874</v>
      </c>
      <c r="D19" s="18">
        <v>45443983491</v>
      </c>
      <c r="E19" s="19">
        <v>60227800</v>
      </c>
      <c r="H19" s="21"/>
    </row>
    <row r="20" spans="1:8" s="20" customFormat="1" x14ac:dyDescent="0.25">
      <c r="A20" s="31"/>
      <c r="B20" s="13" t="s">
        <v>11</v>
      </c>
      <c r="C20" s="16">
        <f>SUM(C14:C19)</f>
        <v>208387</v>
      </c>
      <c r="D20" s="16">
        <f t="shared" ref="D20:E20" si="1">SUM(D14:D19)</f>
        <v>232980935800</v>
      </c>
      <c r="E20" s="16">
        <f t="shared" si="1"/>
        <v>360456194</v>
      </c>
      <c r="H20" s="21"/>
    </row>
    <row r="21" spans="1:8" ht="16.5" x14ac:dyDescent="0.25">
      <c r="A21" s="31" t="s">
        <v>24</v>
      </c>
      <c r="B21" s="15" t="s">
        <v>7</v>
      </c>
      <c r="C21" s="18">
        <v>40115</v>
      </c>
      <c r="D21" s="18">
        <v>28061672550</v>
      </c>
      <c r="E21" s="19">
        <v>70034238</v>
      </c>
      <c r="H21" s="21"/>
    </row>
    <row r="22" spans="1:8" ht="16.5" x14ac:dyDescent="0.25">
      <c r="A22" s="31"/>
      <c r="B22" s="15" t="s">
        <v>12</v>
      </c>
      <c r="C22" s="18">
        <v>40635</v>
      </c>
      <c r="D22" s="18">
        <v>33773478471</v>
      </c>
      <c r="E22" s="19">
        <v>71006157</v>
      </c>
      <c r="H22" s="21"/>
    </row>
    <row r="23" spans="1:8" ht="16.5" x14ac:dyDescent="0.25">
      <c r="A23" s="31"/>
      <c r="B23" s="15" t="s">
        <v>13</v>
      </c>
      <c r="C23" s="18">
        <v>40649</v>
      </c>
      <c r="D23" s="18">
        <v>32782914919</v>
      </c>
      <c r="E23" s="19">
        <v>71011265</v>
      </c>
      <c r="H23" s="21"/>
    </row>
    <row r="24" spans="1:8" ht="16.5" x14ac:dyDescent="0.25">
      <c r="A24" s="31"/>
      <c r="B24" s="15" t="s">
        <v>14</v>
      </c>
      <c r="C24" s="18">
        <v>40907</v>
      </c>
      <c r="D24" s="18">
        <v>32629673735</v>
      </c>
      <c r="E24" s="19">
        <v>71358272</v>
      </c>
      <c r="H24" s="21"/>
    </row>
    <row r="25" spans="1:8" ht="16.5" x14ac:dyDescent="0.25">
      <c r="A25" s="31"/>
      <c r="B25" s="15" t="s">
        <v>15</v>
      </c>
      <c r="C25" s="18">
        <v>41016</v>
      </c>
      <c r="D25" s="18">
        <v>34415516090</v>
      </c>
      <c r="E25" s="19">
        <v>71494727</v>
      </c>
      <c r="H25" s="21"/>
    </row>
    <row r="26" spans="1:8" ht="16.5" x14ac:dyDescent="0.25">
      <c r="A26" s="31"/>
      <c r="B26" s="15" t="s">
        <v>16</v>
      </c>
      <c r="C26" s="18">
        <v>40854</v>
      </c>
      <c r="D26" s="18">
        <v>32183119353</v>
      </c>
      <c r="E26" s="19">
        <v>71520000</v>
      </c>
      <c r="H26" s="21"/>
    </row>
    <row r="27" spans="1:8" s="20" customFormat="1" x14ac:dyDescent="0.25">
      <c r="A27" s="31"/>
      <c r="B27" s="13" t="s">
        <v>11</v>
      </c>
      <c r="C27" s="16">
        <f>SUM(C21:C26)</f>
        <v>244176</v>
      </c>
      <c r="D27" s="16">
        <f t="shared" ref="D27:E27" si="2">SUM(D21:D26)</f>
        <v>193846375118</v>
      </c>
      <c r="E27" s="16">
        <f t="shared" si="2"/>
        <v>426424659</v>
      </c>
      <c r="H27" s="21"/>
    </row>
  </sheetData>
  <mergeCells count="4">
    <mergeCell ref="A7:A13"/>
    <mergeCell ref="A14:A20"/>
    <mergeCell ref="A21:A27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PHI NH-TCTG-DVHTKDD</vt:lpstr>
      <vt:lpstr>Chi tiet 3 DL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</dc:creator>
  <cp:lastModifiedBy>Nguyễn Thị Mai Phương</cp:lastModifiedBy>
  <dcterms:created xsi:type="dcterms:W3CDTF">2009-09-09T03:42:29Z</dcterms:created>
  <dcterms:modified xsi:type="dcterms:W3CDTF">2026-07-21T03:58:58Z</dcterms:modified>
</cp:coreProperties>
</file>